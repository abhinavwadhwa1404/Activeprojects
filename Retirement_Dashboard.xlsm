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ink/ink1.xml" ContentType="application/inkml+xml"/>
  <Override PartName="/xl/ink/ink2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bhinavwadhwa/Desktop/"/>
    </mc:Choice>
  </mc:AlternateContent>
  <xr:revisionPtr revIDLastSave="0" documentId="8_{8D8C6AC2-095C-2041-AE2D-FE56F3DA59D0}" xr6:coauthVersionLast="47" xr6:coauthVersionMax="47" xr10:uidLastSave="{00000000-0000-0000-0000-000000000000}"/>
  <bookViews>
    <workbookView xWindow="0" yWindow="740" windowWidth="29400" windowHeight="18380" xr2:uid="{C98D94CE-3E56-6C46-9EB6-B8A29870920A}"/>
  </bookViews>
  <sheets>
    <sheet name="Dashboard" sheetId="2" r:id="rId1"/>
    <sheet name="Calculations" sheetId="1" r:id="rId2"/>
    <sheet name="Golden Data" sheetId="3" r:id="rId3"/>
    <sheet name="Contribution" sheetId="4" r:id="rId4"/>
  </sheets>
  <definedNames>
    <definedName name="Bob_Savings_Rate" localSheetId="1">Calculations!$D$16</definedName>
    <definedName name="Income_Growth_Rate" localSheetId="1">Calculations!$D$11</definedName>
    <definedName name="PCT_Final_Income" localSheetId="1">Calculations!$D$17</definedName>
    <definedName name="ROA_Post" localSheetId="1">Calculations!$D$10</definedName>
    <definedName name="ROA_Pre" localSheetId="1">Calculations!$D$9</definedName>
  </definedNames>
  <calcPr calcId="191029"/>
  <pivotCaches>
    <pivotCache cacheId="1399" r:id="rId5"/>
    <pivotCache cacheId="140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O74" i="1"/>
  <c r="O73" i="1" s="1"/>
  <c r="O72" i="1" s="1"/>
  <c r="O71" i="1" s="1"/>
  <c r="O70" i="1" s="1"/>
  <c r="O76" i="1"/>
  <c r="O77" i="1" s="1"/>
  <c r="O78" i="1" s="1"/>
  <c r="O79" i="1" s="1"/>
  <c r="O80" i="1" s="1"/>
  <c r="N79" i="1"/>
  <c r="N80" i="1" s="1"/>
  <c r="N72" i="1"/>
  <c r="N73" i="1"/>
  <c r="N74" i="1" s="1"/>
  <c r="N75" i="1" s="1"/>
  <c r="N76" i="1" s="1"/>
  <c r="N77" i="1" s="1"/>
  <c r="N78" i="1" s="1"/>
  <c r="N71" i="1"/>
  <c r="X13" i="2"/>
  <c r="I22" i="1"/>
  <c r="X3" i="2" s="1"/>
  <c r="X11" i="2"/>
  <c r="X7" i="2"/>
  <c r="F22" i="1"/>
  <c r="X6" i="2"/>
  <c r="C22" i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X1" i="2"/>
  <c r="J22" i="1" l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7" i="1"/>
  <c r="J77" i="1" s="1"/>
  <c r="I78" i="1"/>
  <c r="J78" i="1" s="1"/>
  <c r="I79" i="1"/>
  <c r="J79" i="1" s="1"/>
  <c r="I80" i="1"/>
  <c r="J80" i="1" s="1"/>
  <c r="I81" i="1"/>
  <c r="J81" i="1" s="1"/>
  <c r="K22" i="1"/>
  <c r="S22" i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G22" i="1"/>
  <c r="D22" i="1"/>
  <c r="L22" i="1" s="1"/>
  <c r="C46" i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K23" i="1" l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E22" i="1"/>
  <c r="D23" i="1"/>
  <c r="N23" i="1"/>
  <c r="N24" i="1" l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F23" i="1"/>
  <c r="H22" i="1"/>
  <c r="G23" i="1" s="1"/>
  <c r="E23" i="1"/>
  <c r="L23" i="1"/>
  <c r="D24" i="1"/>
  <c r="F24" i="1" s="1"/>
  <c r="N45" i="1" l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H23" i="1"/>
  <c r="G24" i="1" s="1"/>
  <c r="D25" i="1"/>
  <c r="F25" i="1" s="1"/>
  <c r="L24" i="1"/>
  <c r="E24" i="1"/>
  <c r="D26" i="1" l="1"/>
  <c r="F26" i="1" s="1"/>
  <c r="H24" i="1"/>
  <c r="G25" i="1" s="1"/>
  <c r="L26" i="1"/>
  <c r="E26" i="1"/>
  <c r="L25" i="1"/>
  <c r="E25" i="1"/>
  <c r="D27" i="1"/>
  <c r="F27" i="1" s="1"/>
  <c r="H25" i="1" l="1"/>
  <c r="E27" i="1"/>
  <c r="L27" i="1"/>
  <c r="D28" i="1"/>
  <c r="F28" i="1" s="1"/>
  <c r="D29" i="1" l="1"/>
  <c r="F29" i="1" s="1"/>
  <c r="G26" i="1"/>
  <c r="H26" i="1" s="1"/>
  <c r="G27" i="1" s="1"/>
  <c r="H27" i="1" s="1"/>
  <c r="G28" i="1" s="1"/>
  <c r="E29" i="1"/>
  <c r="L29" i="1"/>
  <c r="E28" i="1"/>
  <c r="L28" i="1"/>
  <c r="D30" i="1"/>
  <c r="F30" i="1" l="1"/>
  <c r="H28" i="1"/>
  <c r="E30" i="1"/>
  <c r="L30" i="1"/>
  <c r="D31" i="1"/>
  <c r="F31" i="1" s="1"/>
  <c r="G29" i="1" l="1"/>
  <c r="H29" i="1" s="1"/>
  <c r="G30" i="1" s="1"/>
  <c r="H30" i="1" s="1"/>
  <c r="G31" i="1" s="1"/>
  <c r="E31" i="1"/>
  <c r="L31" i="1"/>
  <c r="D32" i="1"/>
  <c r="F32" i="1" s="1"/>
  <c r="H31" i="1" l="1"/>
  <c r="G32" i="1" s="1"/>
  <c r="L32" i="1"/>
  <c r="E32" i="1"/>
  <c r="D33" i="1"/>
  <c r="F33" i="1" s="1"/>
  <c r="H32" i="1" l="1"/>
  <c r="G33" i="1" s="1"/>
  <c r="L33" i="1"/>
  <c r="E33" i="1"/>
  <c r="D34" i="1"/>
  <c r="F34" i="1" s="1"/>
  <c r="H33" i="1" l="1"/>
  <c r="G34" i="1" s="1"/>
  <c r="L34" i="1"/>
  <c r="E34" i="1"/>
  <c r="D35" i="1"/>
  <c r="F35" i="1" s="1"/>
  <c r="H34" i="1" l="1"/>
  <c r="G35" i="1" s="1"/>
  <c r="E35" i="1"/>
  <c r="L35" i="1"/>
  <c r="D36" i="1"/>
  <c r="F36" i="1" s="1"/>
  <c r="H35" i="1" l="1"/>
  <c r="G36" i="1" s="1"/>
  <c r="E36" i="1"/>
  <c r="L36" i="1"/>
  <c r="D37" i="1"/>
  <c r="F37" i="1" s="1"/>
  <c r="H36" i="1" l="1"/>
  <c r="G37" i="1" s="1"/>
  <c r="E37" i="1"/>
  <c r="L37" i="1"/>
  <c r="D38" i="1"/>
  <c r="F38" i="1" s="1"/>
  <c r="H37" i="1" l="1"/>
  <c r="G38" i="1" s="1"/>
  <c r="E38" i="1"/>
  <c r="L38" i="1"/>
  <c r="D39" i="1"/>
  <c r="F39" i="1" s="1"/>
  <c r="H38" i="1" l="1"/>
  <c r="G39" i="1" s="1"/>
  <c r="E39" i="1"/>
  <c r="L39" i="1"/>
  <c r="D40" i="1"/>
  <c r="F40" i="1" s="1"/>
  <c r="H39" i="1" l="1"/>
  <c r="G40" i="1" s="1"/>
  <c r="L40" i="1"/>
  <c r="E40" i="1"/>
  <c r="D41" i="1"/>
  <c r="F41" i="1" s="1"/>
  <c r="H40" i="1" l="1"/>
  <c r="G41" i="1" s="1"/>
  <c r="L41" i="1"/>
  <c r="E41" i="1"/>
  <c r="D42" i="1"/>
  <c r="F42" i="1" s="1"/>
  <c r="H41" i="1" l="1"/>
  <c r="G42" i="1" s="1"/>
  <c r="L42" i="1"/>
  <c r="E42" i="1"/>
  <c r="D43" i="1"/>
  <c r="F43" i="1" s="1"/>
  <c r="H42" i="1" l="1"/>
  <c r="G43" i="1" s="1"/>
  <c r="E43" i="1"/>
  <c r="L43" i="1"/>
  <c r="D44" i="1"/>
  <c r="F44" i="1" s="1"/>
  <c r="H43" i="1" l="1"/>
  <c r="G44" i="1" s="1"/>
  <c r="E44" i="1"/>
  <c r="L44" i="1"/>
  <c r="D45" i="1"/>
  <c r="F45" i="1" s="1"/>
  <c r="H44" i="1" l="1"/>
  <c r="G45" i="1" s="1"/>
  <c r="E45" i="1"/>
  <c r="L45" i="1"/>
  <c r="D46" i="1"/>
  <c r="F46" i="1" s="1"/>
  <c r="H45" i="1" l="1"/>
  <c r="G46" i="1" s="1"/>
  <c r="E46" i="1"/>
  <c r="L46" i="1"/>
  <c r="D47" i="1"/>
  <c r="F47" i="1" l="1"/>
  <c r="H46" i="1"/>
  <c r="G47" i="1" s="1"/>
  <c r="E47" i="1"/>
  <c r="L47" i="1"/>
  <c r="D48" i="1"/>
  <c r="F48" i="1" s="1"/>
  <c r="H47" i="1" l="1"/>
  <c r="G48" i="1" s="1"/>
  <c r="L48" i="1"/>
  <c r="E48" i="1"/>
  <c r="D49" i="1"/>
  <c r="F49" i="1" s="1"/>
  <c r="H48" i="1" l="1"/>
  <c r="G49" i="1" s="1"/>
  <c r="L49" i="1"/>
  <c r="E49" i="1"/>
  <c r="D50" i="1"/>
  <c r="F50" i="1" s="1"/>
  <c r="H49" i="1" l="1"/>
  <c r="G50" i="1" s="1"/>
  <c r="L50" i="1"/>
  <c r="E50" i="1"/>
  <c r="D51" i="1"/>
  <c r="F51" i="1" l="1"/>
  <c r="E51" i="1"/>
  <c r="L51" i="1"/>
  <c r="D52" i="1"/>
  <c r="F52" i="1" l="1"/>
  <c r="O22" i="1"/>
  <c r="H50" i="1"/>
  <c r="E52" i="1"/>
  <c r="L52" i="1"/>
  <c r="D53" i="1"/>
  <c r="F53" i="1" s="1"/>
  <c r="P22" i="1" l="1"/>
  <c r="Q22" i="1" s="1"/>
  <c r="O23" i="1"/>
  <c r="O24" i="1" s="1"/>
  <c r="G51" i="1"/>
  <c r="H51" i="1" s="1"/>
  <c r="G52" i="1" s="1"/>
  <c r="H52" i="1" s="1"/>
  <c r="G53" i="1" s="1"/>
  <c r="E53" i="1"/>
  <c r="L53" i="1"/>
  <c r="D54" i="1"/>
  <c r="F54" i="1" s="1"/>
  <c r="R23" i="1" l="1"/>
  <c r="P23" i="1"/>
  <c r="Q23" i="1" s="1"/>
  <c r="O25" i="1"/>
  <c r="R24" i="1"/>
  <c r="P24" i="1"/>
  <c r="Q24" i="1" s="1"/>
  <c r="H53" i="1"/>
  <c r="G54" i="1" s="1"/>
  <c r="E54" i="1"/>
  <c r="L54" i="1"/>
  <c r="D55" i="1"/>
  <c r="F55" i="1" s="1"/>
  <c r="O26" i="1" l="1"/>
  <c r="R25" i="1"/>
  <c r="P25" i="1"/>
  <c r="Q25" i="1" s="1"/>
  <c r="H54" i="1"/>
  <c r="E55" i="1"/>
  <c r="L55" i="1"/>
  <c r="D56" i="1"/>
  <c r="F56" i="1" s="1"/>
  <c r="G55" i="1" l="1"/>
  <c r="H55" i="1" s="1"/>
  <c r="G56" i="1" s="1"/>
  <c r="O27" i="1"/>
  <c r="R26" i="1"/>
  <c r="P26" i="1"/>
  <c r="Q26" i="1" s="1"/>
  <c r="L56" i="1"/>
  <c r="E56" i="1"/>
  <c r="D57" i="1"/>
  <c r="F57" i="1" s="1"/>
  <c r="O28" i="1" l="1"/>
  <c r="R27" i="1"/>
  <c r="P27" i="1"/>
  <c r="Q27" i="1" s="1"/>
  <c r="H56" i="1"/>
  <c r="L57" i="1"/>
  <c r="E57" i="1"/>
  <c r="D58" i="1"/>
  <c r="F58" i="1" s="1"/>
  <c r="G57" i="1" l="1"/>
  <c r="T22" i="1"/>
  <c r="O29" i="1"/>
  <c r="R28" i="1"/>
  <c r="P28" i="1"/>
  <c r="Q28" i="1" s="1"/>
  <c r="H57" i="1"/>
  <c r="G58" i="1" s="1"/>
  <c r="L58" i="1"/>
  <c r="E58" i="1"/>
  <c r="D59" i="1"/>
  <c r="F59" i="1" s="1"/>
  <c r="U22" i="1" l="1"/>
  <c r="R2" i="1"/>
  <c r="O30" i="1"/>
  <c r="R29" i="1"/>
  <c r="P29" i="1"/>
  <c r="Q29" i="1" s="1"/>
  <c r="H58" i="1"/>
  <c r="G59" i="1" s="1"/>
  <c r="E59" i="1"/>
  <c r="L59" i="1"/>
  <c r="D60" i="1"/>
  <c r="F60" i="1" s="1"/>
  <c r="V22" i="1" l="1"/>
  <c r="U20" i="1"/>
  <c r="X14" i="2" s="1"/>
  <c r="T23" i="1"/>
  <c r="U23" i="1" s="1"/>
  <c r="O31" i="1"/>
  <c r="R30" i="1"/>
  <c r="P30" i="1"/>
  <c r="Q30" i="1" s="1"/>
  <c r="H59" i="1"/>
  <c r="G60" i="1" s="1"/>
  <c r="E60" i="1"/>
  <c r="L60" i="1"/>
  <c r="D61" i="1"/>
  <c r="F61" i="1" s="1"/>
  <c r="T24" i="1" l="1"/>
  <c r="U24" i="1" s="1"/>
  <c r="V23" i="1"/>
  <c r="O32" i="1"/>
  <c r="R31" i="1"/>
  <c r="P31" i="1"/>
  <c r="Q31" i="1" s="1"/>
  <c r="H60" i="1"/>
  <c r="G61" i="1" s="1"/>
  <c r="E61" i="1"/>
  <c r="L61" i="1"/>
  <c r="D62" i="1"/>
  <c r="F62" i="1" s="1"/>
  <c r="V24" i="1" l="1"/>
  <c r="T25" i="1"/>
  <c r="U25" i="1" s="1"/>
  <c r="O33" i="1"/>
  <c r="R32" i="1"/>
  <c r="P32" i="1"/>
  <c r="Q32" i="1" s="1"/>
  <c r="H61" i="1"/>
  <c r="G62" i="1" s="1"/>
  <c r="E62" i="1"/>
  <c r="L62" i="1"/>
  <c r="D63" i="1"/>
  <c r="F63" i="1" s="1"/>
  <c r="T26" i="1" l="1"/>
  <c r="U26" i="1" s="1"/>
  <c r="V25" i="1"/>
  <c r="O34" i="1"/>
  <c r="R33" i="1"/>
  <c r="P33" i="1"/>
  <c r="Q33" i="1" s="1"/>
  <c r="H62" i="1"/>
  <c r="G63" i="1" s="1"/>
  <c r="E63" i="1"/>
  <c r="L63" i="1"/>
  <c r="D64" i="1"/>
  <c r="F64" i="1" s="1"/>
  <c r="T27" i="1" l="1"/>
  <c r="U27" i="1" s="1"/>
  <c r="V26" i="1"/>
  <c r="O35" i="1"/>
  <c r="R34" i="1"/>
  <c r="P34" i="1"/>
  <c r="Q34" i="1" s="1"/>
  <c r="H63" i="1"/>
  <c r="G64" i="1" s="1"/>
  <c r="L64" i="1"/>
  <c r="E64" i="1"/>
  <c r="D65" i="1"/>
  <c r="F65" i="1" s="1"/>
  <c r="V27" i="1" l="1"/>
  <c r="T28" i="1"/>
  <c r="U28" i="1" s="1"/>
  <c r="O36" i="1"/>
  <c r="R35" i="1"/>
  <c r="P35" i="1"/>
  <c r="Q35" i="1" s="1"/>
  <c r="H64" i="1"/>
  <c r="G65" i="1" s="1"/>
  <c r="L65" i="1"/>
  <c r="E65" i="1"/>
  <c r="D66" i="1"/>
  <c r="F66" i="1" s="1"/>
  <c r="V28" i="1" l="1"/>
  <c r="T29" i="1"/>
  <c r="U29" i="1" s="1"/>
  <c r="O37" i="1"/>
  <c r="R36" i="1"/>
  <c r="P36" i="1"/>
  <c r="Q36" i="1" s="1"/>
  <c r="H65" i="1"/>
  <c r="G66" i="1" s="1"/>
  <c r="L66" i="1"/>
  <c r="E66" i="1"/>
  <c r="D67" i="1"/>
  <c r="T30" i="1" l="1"/>
  <c r="U30" i="1" s="1"/>
  <c r="V29" i="1"/>
  <c r="D68" i="1"/>
  <c r="F68" i="1" s="1"/>
  <c r="F67" i="1"/>
  <c r="O38" i="1"/>
  <c r="R37" i="1"/>
  <c r="P37" i="1"/>
  <c r="Q37" i="1" s="1"/>
  <c r="H66" i="1"/>
  <c r="G67" i="1" s="1"/>
  <c r="E68" i="1"/>
  <c r="L68" i="1"/>
  <c r="E67" i="1"/>
  <c r="L67" i="1"/>
  <c r="D69" i="1"/>
  <c r="F69" i="1" s="1"/>
  <c r="V30" i="1" l="1"/>
  <c r="T31" i="1"/>
  <c r="U31" i="1" s="1"/>
  <c r="O39" i="1"/>
  <c r="R38" i="1"/>
  <c r="P38" i="1"/>
  <c r="Q38" i="1" s="1"/>
  <c r="H67" i="1"/>
  <c r="G68" i="1" s="1"/>
  <c r="E69" i="1"/>
  <c r="L69" i="1"/>
  <c r="D70" i="1"/>
  <c r="F70" i="1" s="1"/>
  <c r="T32" i="1" l="1"/>
  <c r="U32" i="1" s="1"/>
  <c r="V31" i="1"/>
  <c r="O40" i="1"/>
  <c r="R39" i="1"/>
  <c r="P39" i="1"/>
  <c r="Q39" i="1" s="1"/>
  <c r="H68" i="1"/>
  <c r="E70" i="1"/>
  <c r="L70" i="1"/>
  <c r="D71" i="1"/>
  <c r="F71" i="1" s="1"/>
  <c r="V32" i="1" l="1"/>
  <c r="T33" i="1"/>
  <c r="U33" i="1" s="1"/>
  <c r="O41" i="1"/>
  <c r="R40" i="1"/>
  <c r="P40" i="1"/>
  <c r="Q40" i="1" s="1"/>
  <c r="G69" i="1"/>
  <c r="H69" i="1" s="1"/>
  <c r="G70" i="1" s="1"/>
  <c r="H70" i="1" s="1"/>
  <c r="G71" i="1" s="1"/>
  <c r="E71" i="1"/>
  <c r="L71" i="1"/>
  <c r="D72" i="1"/>
  <c r="F72" i="1" s="1"/>
  <c r="T34" i="1" l="1"/>
  <c r="U34" i="1" s="1"/>
  <c r="V33" i="1"/>
  <c r="O42" i="1"/>
  <c r="R41" i="1"/>
  <c r="P41" i="1"/>
  <c r="Q41" i="1" s="1"/>
  <c r="H71" i="1"/>
  <c r="G72" i="1" s="1"/>
  <c r="L72" i="1"/>
  <c r="E72" i="1"/>
  <c r="D73" i="1"/>
  <c r="F73" i="1" s="1"/>
  <c r="T35" i="1" l="1"/>
  <c r="U35" i="1" s="1"/>
  <c r="V34" i="1"/>
  <c r="O43" i="1"/>
  <c r="R42" i="1"/>
  <c r="P42" i="1"/>
  <c r="Q42" i="1" s="1"/>
  <c r="H72" i="1"/>
  <c r="G73" i="1" s="1"/>
  <c r="L73" i="1"/>
  <c r="E73" i="1"/>
  <c r="D74" i="1"/>
  <c r="F74" i="1" s="1"/>
  <c r="T36" i="1" l="1"/>
  <c r="U36" i="1" s="1"/>
  <c r="V35" i="1"/>
  <c r="O44" i="1"/>
  <c r="R43" i="1"/>
  <c r="P43" i="1"/>
  <c r="Q43" i="1" s="1"/>
  <c r="H73" i="1"/>
  <c r="G74" i="1" s="1"/>
  <c r="L74" i="1"/>
  <c r="E74" i="1"/>
  <c r="D75" i="1"/>
  <c r="F75" i="1" s="1"/>
  <c r="T37" i="1" l="1"/>
  <c r="U37" i="1" s="1"/>
  <c r="V36" i="1"/>
  <c r="O45" i="1"/>
  <c r="R44" i="1"/>
  <c r="P44" i="1"/>
  <c r="Q44" i="1" s="1"/>
  <c r="H74" i="1"/>
  <c r="G75" i="1" s="1"/>
  <c r="E75" i="1"/>
  <c r="L75" i="1"/>
  <c r="D76" i="1"/>
  <c r="F76" i="1" s="1"/>
  <c r="V37" i="1" l="1"/>
  <c r="T38" i="1"/>
  <c r="U38" i="1" s="1"/>
  <c r="O46" i="1"/>
  <c r="R45" i="1"/>
  <c r="P45" i="1"/>
  <c r="Q45" i="1" s="1"/>
  <c r="H75" i="1"/>
  <c r="G76" i="1" s="1"/>
  <c r="E76" i="1"/>
  <c r="L76" i="1"/>
  <c r="D77" i="1"/>
  <c r="F77" i="1" s="1"/>
  <c r="V38" i="1" l="1"/>
  <c r="T39" i="1"/>
  <c r="U39" i="1" s="1"/>
  <c r="O47" i="1"/>
  <c r="R46" i="1"/>
  <c r="P46" i="1"/>
  <c r="Q46" i="1" s="1"/>
  <c r="H76" i="1"/>
  <c r="G77" i="1" s="1"/>
  <c r="E77" i="1"/>
  <c r="L77" i="1"/>
  <c r="D78" i="1"/>
  <c r="F78" i="1" s="1"/>
  <c r="V39" i="1" l="1"/>
  <c r="T40" i="1"/>
  <c r="U40" i="1" s="1"/>
  <c r="O48" i="1"/>
  <c r="R47" i="1"/>
  <c r="P47" i="1"/>
  <c r="Q47" i="1" s="1"/>
  <c r="H77" i="1"/>
  <c r="G78" i="1" s="1"/>
  <c r="E78" i="1"/>
  <c r="L78" i="1"/>
  <c r="D79" i="1"/>
  <c r="F79" i="1" s="1"/>
  <c r="V40" i="1" l="1"/>
  <c r="T41" i="1"/>
  <c r="U41" i="1" s="1"/>
  <c r="O49" i="1"/>
  <c r="R48" i="1"/>
  <c r="P48" i="1"/>
  <c r="Q48" i="1" s="1"/>
  <c r="H78" i="1"/>
  <c r="G79" i="1" s="1"/>
  <c r="E79" i="1"/>
  <c r="L79" i="1"/>
  <c r="D80" i="1"/>
  <c r="F80" i="1" s="1"/>
  <c r="V41" i="1" l="1"/>
  <c r="T42" i="1"/>
  <c r="U42" i="1" s="1"/>
  <c r="O50" i="1"/>
  <c r="R49" i="1"/>
  <c r="P49" i="1"/>
  <c r="Q49" i="1" s="1"/>
  <c r="H79" i="1"/>
  <c r="G80" i="1" s="1"/>
  <c r="L80" i="1"/>
  <c r="E80" i="1"/>
  <c r="D81" i="1"/>
  <c r="F81" i="1" s="1"/>
  <c r="T43" i="1" l="1"/>
  <c r="U43" i="1" s="1"/>
  <c r="V42" i="1"/>
  <c r="O51" i="1"/>
  <c r="R50" i="1"/>
  <c r="P50" i="1"/>
  <c r="Q50" i="1" s="1"/>
  <c r="H80" i="1"/>
  <c r="G81" i="1" s="1"/>
  <c r="L81" i="1"/>
  <c r="E81" i="1"/>
  <c r="V43" i="1" l="1"/>
  <c r="T44" i="1"/>
  <c r="U44" i="1" s="1"/>
  <c r="O52" i="1"/>
  <c r="R51" i="1"/>
  <c r="P51" i="1"/>
  <c r="Q51" i="1" s="1"/>
  <c r="H81" i="1"/>
  <c r="V44" i="1" l="1"/>
  <c r="T45" i="1"/>
  <c r="U45" i="1" s="1"/>
  <c r="O53" i="1"/>
  <c r="R52" i="1"/>
  <c r="P52" i="1"/>
  <c r="Q52" i="1" s="1"/>
  <c r="T46" i="1" l="1"/>
  <c r="U46" i="1" s="1"/>
  <c r="V45" i="1"/>
  <c r="O54" i="1"/>
  <c r="R53" i="1"/>
  <c r="P53" i="1"/>
  <c r="Q53" i="1" s="1"/>
  <c r="T47" i="1" l="1"/>
  <c r="U47" i="1" s="1"/>
  <c r="V46" i="1"/>
  <c r="O55" i="1"/>
  <c r="R54" i="1"/>
  <c r="P54" i="1"/>
  <c r="Q54" i="1" s="1"/>
  <c r="V47" i="1" l="1"/>
  <c r="T48" i="1"/>
  <c r="U48" i="1" s="1"/>
  <c r="O56" i="1"/>
  <c r="R55" i="1"/>
  <c r="P55" i="1"/>
  <c r="Q55" i="1" s="1"/>
  <c r="V48" i="1" l="1"/>
  <c r="T49" i="1"/>
  <c r="U49" i="1" s="1"/>
  <c r="O57" i="1"/>
  <c r="R56" i="1"/>
  <c r="P56" i="1"/>
  <c r="Q56" i="1" s="1"/>
  <c r="V49" i="1" l="1"/>
  <c r="T50" i="1"/>
  <c r="U50" i="1" s="1"/>
  <c r="O58" i="1"/>
  <c r="R57" i="1"/>
  <c r="P57" i="1"/>
  <c r="Q57" i="1" s="1"/>
  <c r="T51" i="1" l="1"/>
  <c r="U51" i="1" s="1"/>
  <c r="V50" i="1"/>
  <c r="O59" i="1"/>
  <c r="R58" i="1"/>
  <c r="P58" i="1"/>
  <c r="Q58" i="1" s="1"/>
  <c r="T52" i="1" l="1"/>
  <c r="U52" i="1" s="1"/>
  <c r="V51" i="1"/>
  <c r="O60" i="1"/>
  <c r="R59" i="1"/>
  <c r="P59" i="1"/>
  <c r="Q59" i="1" s="1"/>
  <c r="V52" i="1" l="1"/>
  <c r="T53" i="1"/>
  <c r="U53" i="1" s="1"/>
  <c r="O61" i="1"/>
  <c r="R60" i="1"/>
  <c r="P60" i="1"/>
  <c r="Q60" i="1" s="1"/>
  <c r="T54" i="1" l="1"/>
  <c r="U54" i="1" s="1"/>
  <c r="V53" i="1"/>
  <c r="O62" i="1"/>
  <c r="R61" i="1"/>
  <c r="P61" i="1"/>
  <c r="Q61" i="1" s="1"/>
  <c r="V54" i="1" l="1"/>
  <c r="T55" i="1"/>
  <c r="U55" i="1" s="1"/>
  <c r="O63" i="1"/>
  <c r="R62" i="1"/>
  <c r="P62" i="1"/>
  <c r="Q62" i="1" s="1"/>
  <c r="T56" i="1" l="1"/>
  <c r="U56" i="1" s="1"/>
  <c r="V55" i="1"/>
  <c r="O64" i="1"/>
  <c r="R63" i="1"/>
  <c r="P63" i="1"/>
  <c r="Q63" i="1" s="1"/>
  <c r="T57" i="1" l="1"/>
  <c r="U57" i="1" s="1"/>
  <c r="V56" i="1"/>
  <c r="O65" i="1"/>
  <c r="P64" i="1"/>
  <c r="Q64" i="1" s="1"/>
  <c r="R64" i="1"/>
  <c r="T58" i="1" l="1"/>
  <c r="U58" i="1" s="1"/>
  <c r="V57" i="1"/>
  <c r="O66" i="1"/>
  <c r="R65" i="1"/>
  <c r="P65" i="1"/>
  <c r="Q65" i="1" s="1"/>
  <c r="T59" i="1" l="1"/>
  <c r="U59" i="1" s="1"/>
  <c r="V58" i="1"/>
  <c r="P66" i="1"/>
  <c r="Q66" i="1" s="1"/>
  <c r="R66" i="1"/>
  <c r="T60" i="1" l="1"/>
  <c r="U60" i="1" s="1"/>
  <c r="V59" i="1"/>
  <c r="V60" i="1" l="1"/>
  <c r="T61" i="1"/>
  <c r="U61" i="1" s="1"/>
  <c r="V61" i="1" l="1"/>
  <c r="T62" i="1"/>
  <c r="U62" i="1" s="1"/>
  <c r="T63" i="1" l="1"/>
  <c r="U63" i="1" s="1"/>
  <c r="V62" i="1"/>
  <c r="T64" i="1" l="1"/>
  <c r="U64" i="1" s="1"/>
  <c r="V63" i="1"/>
  <c r="V64" i="1" l="1"/>
  <c r="T65" i="1"/>
  <c r="U65" i="1" s="1"/>
  <c r="T66" i="1" l="1"/>
  <c r="U66" i="1" s="1"/>
  <c r="V66" i="1" s="1"/>
  <c r="V65" i="1"/>
  <c r="M17" i="1" s="1"/>
  <c r="S6" i="1" l="1"/>
  <c r="X15" i="2" s="1"/>
  <c r="X2" i="2"/>
</calcChain>
</file>

<file path=xl/sharedStrings.xml><?xml version="1.0" encoding="utf-8"?>
<sst xmlns="http://schemas.openxmlformats.org/spreadsheetml/2006/main" count="98" uniqueCount="56">
  <si>
    <t>Reitrement Model (B)</t>
  </si>
  <si>
    <r>
      <t xml:space="preserve">In this model, we have </t>
    </r>
    <r>
      <rPr>
        <sz val="12"/>
        <color rgb="FFFF0000"/>
        <rFont val="Calibri (Body)_x0000_"/>
      </rPr>
      <t>THREE</t>
    </r>
    <r>
      <rPr>
        <sz val="12"/>
        <color theme="1"/>
        <rFont val="Calibri"/>
        <family val="2"/>
        <scheme val="minor"/>
      </rPr>
      <t xml:space="preserve"> decision variables:</t>
    </r>
  </si>
  <si>
    <t>Bob's contribution rate (like Model A), the % of his</t>
  </si>
  <si>
    <t>Parameters</t>
  </si>
  <si>
    <t>final salary that he needs to live on, and his age at retirement</t>
  </si>
  <si>
    <t>Current Income</t>
  </si>
  <si>
    <t>The "output" from the model is how old Bob will be when the</t>
  </si>
  <si>
    <t>Current Savings</t>
  </si>
  <si>
    <t>retirement funds finally run out. It doesn't assume anyone dies.</t>
  </si>
  <si>
    <t>Employer Saving Rate</t>
  </si>
  <si>
    <t>Age</t>
  </si>
  <si>
    <t>ROA pre-</t>
  </si>
  <si>
    <t>ROA post-</t>
  </si>
  <si>
    <t>Income Growth Rate</t>
  </si>
  <si>
    <t>Tax Rate (post-)</t>
  </si>
  <si>
    <t>Decision</t>
  </si>
  <si>
    <t>% of final Income</t>
  </si>
  <si>
    <t>Age funds run out:</t>
  </si>
  <si>
    <t>Retirement Age</t>
  </si>
  <si>
    <t>Model</t>
  </si>
  <si>
    <t>Contribution</t>
  </si>
  <si>
    <t>Post-Retirement</t>
  </si>
  <si>
    <t>Funds Depleted?</t>
  </si>
  <si>
    <t>Income</t>
  </si>
  <si>
    <t>Employer</t>
  </si>
  <si>
    <t>Bob</t>
  </si>
  <si>
    <t>Assets Start</t>
  </si>
  <si>
    <t>Assets End</t>
  </si>
  <si>
    <t>Spending</t>
  </si>
  <si>
    <t>Withdrawl</t>
  </si>
  <si>
    <t>Asset Start</t>
  </si>
  <si>
    <t>Asset End</t>
  </si>
  <si>
    <t>1 = Yes</t>
  </si>
  <si>
    <t>CPP Contribution Employee</t>
  </si>
  <si>
    <t>CPP Contribution Employer</t>
  </si>
  <si>
    <t>CPP Benefits</t>
  </si>
  <si>
    <t>Total accumulated CPP</t>
  </si>
  <si>
    <t>Income after CPP Redn</t>
  </si>
  <si>
    <t>Tax Paid on Withdrawl</t>
  </si>
  <si>
    <t>Inflation on Spending</t>
  </si>
  <si>
    <t>Sum of Withdrawl</t>
  </si>
  <si>
    <t>Row Labels</t>
  </si>
  <si>
    <t>Grand Total</t>
  </si>
  <si>
    <t>CPP Benefit</t>
  </si>
  <si>
    <t>Sum of Spending</t>
  </si>
  <si>
    <t>Sum of Asset End</t>
  </si>
  <si>
    <t>Inflation Rate</t>
  </si>
  <si>
    <t>Savings Rate</t>
  </si>
  <si>
    <t>Sum of Tax Paid on Withdrawl</t>
  </si>
  <si>
    <t>Inflation Rate (In %)</t>
  </si>
  <si>
    <t>Savings Rate (In %)</t>
  </si>
  <si>
    <t>Bob's Saving</t>
  </si>
  <si>
    <t>Bob's Income</t>
  </si>
  <si>
    <t>Employer Contribution</t>
  </si>
  <si>
    <t>Current Income (In $)</t>
  </si>
  <si>
    <t>Current Savings (In 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</si>
</sst>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0.0%"/>
    <numFmt numFmtId="166" formatCode="_(&quot;$&quot;* #,##0_);_(&quot;$&quot;* \(#,##0\);_(&quot;$&quot;* &quot;-&quot;??_);_(@_)"/>
    <numFmt numFmtId="167" formatCode="&quot;$&quot;#,##0"/>
  </numFmts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 (Body)_x0000_"/>
    </font>
    <font>
      <b/>
      <sz val="12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rgb="FF0432FF"/>
      <name val="Calibri"/>
      <family val="2"/>
      <scheme val="minor"/>
    </font>
    <font>
      <b/>
      <sz val="12"/>
      <color rgb="FF0432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4"/>
      <color rgb="FF000000"/>
      <name val="-webkit-standard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00000"/>
      <name val="Aptos Narrow"/>
    </font>
    <font>
      <sz val="12"/>
      <color theme="8" tint="0.79998168889431442"/>
      <name val="Calibri"/>
      <family val="2"/>
      <scheme val="minor"/>
    </font>
    <font>
      <sz val="14"/>
      <color theme="8" tint="0.79998168889431442"/>
      <name val="-webkit-standard"/>
    </font>
    <font>
      <b/>
      <sz val="12"/>
      <color theme="8" tint="0.7999816888943144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3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0" applyNumberFormat="1"/>
    <xf numFmtId="165" fontId="0" fillId="0" borderId="0" xfId="1" applyNumberFormat="1" applyFont="1"/>
    <xf numFmtId="9" fontId="0" fillId="0" borderId="0" xfId="1" applyFont="1"/>
    <xf numFmtId="0" fontId="0" fillId="0" borderId="0" xfId="0" applyAlignment="1">
      <alignment horizontal="right"/>
    </xf>
    <xf numFmtId="0" fontId="3" fillId="0" borderId="10" xfId="0" applyFont="1" applyBorder="1"/>
    <xf numFmtId="0" fontId="0" fillId="2" borderId="9" xfId="0" applyFill="1" applyBorder="1"/>
    <xf numFmtId="0" fontId="4" fillId="0" borderId="0" xfId="0" applyFont="1"/>
    <xf numFmtId="3" fontId="4" fillId="0" borderId="0" xfId="0" applyNumberFormat="1" applyFont="1"/>
    <xf numFmtId="3" fontId="5" fillId="0" borderId="0" xfId="0" applyNumberFormat="1" applyFont="1"/>
    <xf numFmtId="0" fontId="6" fillId="0" borderId="0" xfId="0" applyFont="1" applyAlignment="1">
      <alignment horizontal="center"/>
    </xf>
    <xf numFmtId="10" fontId="5" fillId="0" borderId="0" xfId="0" applyNumberFormat="1" applyFont="1"/>
    <xf numFmtId="10" fontId="0" fillId="0" borderId="0" xfId="0" applyNumberFormat="1"/>
    <xf numFmtId="3" fontId="4" fillId="2" borderId="0" xfId="0" applyNumberFormat="1" applyFont="1" applyFill="1"/>
    <xf numFmtId="0" fontId="0" fillId="2" borderId="0" xfId="0" applyFill="1"/>
    <xf numFmtId="0" fontId="8" fillId="0" borderId="0" xfId="0" applyFont="1"/>
    <xf numFmtId="0" fontId="7" fillId="0" borderId="0" xfId="0" applyFont="1"/>
    <xf numFmtId="0" fontId="0" fillId="3" borderId="0" xfId="0" applyFill="1"/>
    <xf numFmtId="1" fontId="10" fillId="0" borderId="0" xfId="0" applyNumberFormat="1" applyFont="1"/>
    <xf numFmtId="2" fontId="0" fillId="2" borderId="9" xfId="1" applyNumberFormat="1" applyFont="1" applyFill="1" applyBorder="1"/>
    <xf numFmtId="0" fontId="11" fillId="0" borderId="0" xfId="0" applyFont="1"/>
    <xf numFmtId="0" fontId="12" fillId="3" borderId="0" xfId="0" applyFont="1" applyFill="1"/>
    <xf numFmtId="0" fontId="13" fillId="3" borderId="0" xfId="0" applyFont="1" applyFill="1"/>
    <xf numFmtId="0" fontId="0" fillId="0" borderId="0" xfId="0" pivotButton="1"/>
    <xf numFmtId="2" fontId="0" fillId="0" borderId="0" xfId="1" applyNumberFormat="1" applyFont="1"/>
    <xf numFmtId="1" fontId="0" fillId="0" borderId="0" xfId="0" applyNumberFormat="1"/>
    <xf numFmtId="1" fontId="0" fillId="2" borderId="0" xfId="0" applyNumberFormat="1" applyFill="1"/>
    <xf numFmtId="1" fontId="4" fillId="0" borderId="0" xfId="0" applyNumberFormat="1" applyFont="1"/>
    <xf numFmtId="1" fontId="5" fillId="0" borderId="0" xfId="0" applyNumberFormat="1" applyFont="1"/>
    <xf numFmtId="1" fontId="0" fillId="0" borderId="0" xfId="0" applyNumberFormat="1" applyAlignment="1">
      <alignment horizontal="left"/>
    </xf>
    <xf numFmtId="165" fontId="0" fillId="2" borderId="9" xfId="1" applyNumberFormat="1" applyFont="1" applyFill="1" applyBorder="1"/>
    <xf numFmtId="9" fontId="0" fillId="2" borderId="9" xfId="1" applyFont="1" applyFill="1" applyBorder="1"/>
    <xf numFmtId="0" fontId="5" fillId="0" borderId="0" xfId="0" applyFont="1"/>
    <xf numFmtId="0" fontId="9" fillId="0" borderId="0" xfId="0" applyFont="1"/>
    <xf numFmtId="10" fontId="0" fillId="0" borderId="0" xfId="1" applyNumberFormat="1" applyFont="1"/>
    <xf numFmtId="0" fontId="0" fillId="4" borderId="0" xfId="0" applyFill="1"/>
    <xf numFmtId="9" fontId="0" fillId="4" borderId="0" xfId="1" applyFont="1" applyFill="1"/>
    <xf numFmtId="3" fontId="0" fillId="0" borderId="0" xfId="0" applyNumberFormat="1" applyAlignment="1">
      <alignment horizontal="left"/>
    </xf>
    <xf numFmtId="0" fontId="15" fillId="3" borderId="0" xfId="0" applyFont="1" applyFill="1"/>
    <xf numFmtId="3" fontId="15" fillId="3" borderId="0" xfId="0" applyNumberFormat="1" applyFont="1" applyFill="1"/>
    <xf numFmtId="2" fontId="15" fillId="3" borderId="0" xfId="0" applyNumberFormat="1" applyFont="1" applyFill="1"/>
    <xf numFmtId="0" fontId="16" fillId="3" borderId="0" xfId="0" applyFont="1" applyFill="1"/>
    <xf numFmtId="166" fontId="17" fillId="3" borderId="0" xfId="2" applyNumberFormat="1" applyFont="1" applyFill="1"/>
    <xf numFmtId="167" fontId="15" fillId="3" borderId="0" xfId="2" applyNumberFormat="1" applyFont="1" applyFill="1"/>
    <xf numFmtId="0" fontId="0" fillId="0" borderId="0" xfId="0" applyAlignment="1">
      <alignment horizontal="center"/>
    </xf>
  </cellXfs>
  <cellStyles count="3">
    <cellStyle name="Currency" xfId="2" builtinId="4"/>
    <cellStyle name="Normal" xfId="0" builtinId="0"/>
    <cellStyle name="Per cent" xfId="1" builtinId="5"/>
  </cellStyles>
  <dxfs count="1"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 Assignment (Arnav Mittal and Abhinav Wadhwa).xlsm]Calculations!PivotTable1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  <a:r>
              <a:rPr lang="en-US" sz="1400" b="0" i="0" u="none" strike="noStrike" baseline="0"/>
              <a:t>Withdrawals vs. Spending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Calculations!$Y$21</c:f>
              <c:strCache>
                <c:ptCount val="1"/>
                <c:pt idx="0">
                  <c:v>Sum of Tax Paid on Withdrawl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Calculations!$X$22:$X$67</c:f>
              <c:strCache>
                <c:ptCount val="45"/>
                <c:pt idx="0">
                  <c:v>67</c:v>
                </c:pt>
                <c:pt idx="1">
                  <c:v>68</c:v>
                </c:pt>
                <c:pt idx="2">
                  <c:v>69</c:v>
                </c:pt>
                <c:pt idx="3">
                  <c:v>70</c:v>
                </c:pt>
                <c:pt idx="4">
                  <c:v>71</c:v>
                </c:pt>
                <c:pt idx="5">
                  <c:v>72</c:v>
                </c:pt>
                <c:pt idx="6">
                  <c:v>73</c:v>
                </c:pt>
                <c:pt idx="7">
                  <c:v>74</c:v>
                </c:pt>
                <c:pt idx="8">
                  <c:v>75</c:v>
                </c:pt>
                <c:pt idx="9">
                  <c:v>76</c:v>
                </c:pt>
                <c:pt idx="10">
                  <c:v>77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87</c:v>
                </c:pt>
                <c:pt idx="21">
                  <c:v>88</c:v>
                </c:pt>
                <c:pt idx="22">
                  <c:v>89</c:v>
                </c:pt>
                <c:pt idx="23">
                  <c:v>90</c:v>
                </c:pt>
                <c:pt idx="24">
                  <c:v>91</c:v>
                </c:pt>
                <c:pt idx="25">
                  <c:v>92</c:v>
                </c:pt>
                <c:pt idx="26">
                  <c:v>93</c:v>
                </c:pt>
                <c:pt idx="27">
                  <c:v>94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101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105</c:v>
                </c:pt>
                <c:pt idx="39">
                  <c:v>106</c:v>
                </c:pt>
                <c:pt idx="40">
                  <c:v>107</c:v>
                </c:pt>
                <c:pt idx="41">
                  <c:v>108</c:v>
                </c:pt>
                <c:pt idx="42">
                  <c:v>109</c:v>
                </c:pt>
                <c:pt idx="43">
                  <c:v>110</c:v>
                </c:pt>
                <c:pt idx="44">
                  <c:v>111</c:v>
                </c:pt>
              </c:strCache>
            </c:strRef>
          </c:cat>
          <c:val>
            <c:numRef>
              <c:f>Calculations!$Y$22:$Y$67</c:f>
              <c:numCache>
                <c:formatCode>#,##0</c:formatCode>
                <c:ptCount val="45"/>
                <c:pt idx="0">
                  <c:v>83725.508671490534</c:v>
                </c:pt>
                <c:pt idx="1">
                  <c:v>86237.273931635253</c:v>
                </c:pt>
                <c:pt idx="2">
                  <c:v>88824.39214958431</c:v>
                </c:pt>
                <c:pt idx="3">
                  <c:v>91489.123914071854</c:v>
                </c:pt>
                <c:pt idx="4">
                  <c:v>94233.797631493973</c:v>
                </c:pt>
                <c:pt idx="5">
                  <c:v>97060.8115604388</c:v>
                </c:pt>
                <c:pt idx="6">
                  <c:v>99972.63590725197</c:v>
                </c:pt>
                <c:pt idx="7">
                  <c:v>102971.81498446956</c:v>
                </c:pt>
                <c:pt idx="8">
                  <c:v>106060.96943400364</c:v>
                </c:pt>
                <c:pt idx="9">
                  <c:v>109242.79851702374</c:v>
                </c:pt>
                <c:pt idx="10">
                  <c:v>112520.08247253444</c:v>
                </c:pt>
                <c:pt idx="11">
                  <c:v>115895.68494671051</c:v>
                </c:pt>
                <c:pt idx="12">
                  <c:v>119372.5554951118</c:v>
                </c:pt>
                <c:pt idx="13">
                  <c:v>122953.73215996512</c:v>
                </c:pt>
                <c:pt idx="14">
                  <c:v>126642.34412476409</c:v>
                </c:pt>
                <c:pt idx="15">
                  <c:v>130441.61444850705</c:v>
                </c:pt>
                <c:pt idx="16">
                  <c:v>134354.86288196221</c:v>
                </c:pt>
                <c:pt idx="17">
                  <c:v>138385.50876842113</c:v>
                </c:pt>
                <c:pt idx="18">
                  <c:v>142537.07403147372</c:v>
                </c:pt>
                <c:pt idx="19">
                  <c:v>146813.18625241797</c:v>
                </c:pt>
                <c:pt idx="20">
                  <c:v>151217.58183999051</c:v>
                </c:pt>
                <c:pt idx="21">
                  <c:v>155754.10929519025</c:v>
                </c:pt>
                <c:pt idx="22">
                  <c:v>160426.73257404595</c:v>
                </c:pt>
                <c:pt idx="23">
                  <c:v>165239.53455126734</c:v>
                </c:pt>
                <c:pt idx="24">
                  <c:v>170196.72058780538</c:v>
                </c:pt>
                <c:pt idx="25">
                  <c:v>175302.62220543949</c:v>
                </c:pt>
                <c:pt idx="26">
                  <c:v>180561.70087160269</c:v>
                </c:pt>
                <c:pt idx="27">
                  <c:v>185978.55189775076</c:v>
                </c:pt>
                <c:pt idx="28">
                  <c:v>191557.90845468332</c:v>
                </c:pt>
                <c:pt idx="29">
                  <c:v>197304.64570832381</c:v>
                </c:pt>
                <c:pt idx="30">
                  <c:v>203223.78507957357</c:v>
                </c:pt>
                <c:pt idx="31">
                  <c:v>209320.49863196071</c:v>
                </c:pt>
                <c:pt idx="32">
                  <c:v>215600.11359091959</c:v>
                </c:pt>
                <c:pt idx="33">
                  <c:v>222068.11699864711</c:v>
                </c:pt>
                <c:pt idx="34">
                  <c:v>228730.16050860658</c:v>
                </c:pt>
                <c:pt idx="35">
                  <c:v>235592.06532386481</c:v>
                </c:pt>
                <c:pt idx="36">
                  <c:v>242659.82728358067</c:v>
                </c:pt>
                <c:pt idx="37">
                  <c:v>249939.62210208812</c:v>
                </c:pt>
                <c:pt idx="38">
                  <c:v>257437.81076515076</c:v>
                </c:pt>
                <c:pt idx="39">
                  <c:v>265160.94508810533</c:v>
                </c:pt>
                <c:pt idx="40">
                  <c:v>273115.77344074845</c:v>
                </c:pt>
                <c:pt idx="41">
                  <c:v>281309.24664397095</c:v>
                </c:pt>
                <c:pt idx="42">
                  <c:v>289748.52404329006</c:v>
                </c:pt>
                <c:pt idx="43">
                  <c:v>298440.97976458876</c:v>
                </c:pt>
                <c:pt idx="44">
                  <c:v>307394.20915752649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5-44C6-AC79-D2207B573E6B}"/>
            </c:ext>
          </c:extLst>
        </c:ser>
        <c:ser>
          <c:idx val="1"/>
          <c:order val="1"/>
          <c:tx>
            <c:strRef>
              <c:f>Calculations!$Z$21</c:f>
              <c:strCache>
                <c:ptCount val="1"/>
                <c:pt idx="0">
                  <c:v>Sum of Spending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Calculations!$X$22:$X$67</c:f>
              <c:strCache>
                <c:ptCount val="45"/>
                <c:pt idx="0">
                  <c:v>67</c:v>
                </c:pt>
                <c:pt idx="1">
                  <c:v>68</c:v>
                </c:pt>
                <c:pt idx="2">
                  <c:v>69</c:v>
                </c:pt>
                <c:pt idx="3">
                  <c:v>70</c:v>
                </c:pt>
                <c:pt idx="4">
                  <c:v>71</c:v>
                </c:pt>
                <c:pt idx="5">
                  <c:v>72</c:v>
                </c:pt>
                <c:pt idx="6">
                  <c:v>73</c:v>
                </c:pt>
                <c:pt idx="7">
                  <c:v>74</c:v>
                </c:pt>
                <c:pt idx="8">
                  <c:v>75</c:v>
                </c:pt>
                <c:pt idx="9">
                  <c:v>76</c:v>
                </c:pt>
                <c:pt idx="10">
                  <c:v>77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87</c:v>
                </c:pt>
                <c:pt idx="21">
                  <c:v>88</c:v>
                </c:pt>
                <c:pt idx="22">
                  <c:v>89</c:v>
                </c:pt>
                <c:pt idx="23">
                  <c:v>90</c:v>
                </c:pt>
                <c:pt idx="24">
                  <c:v>91</c:v>
                </c:pt>
                <c:pt idx="25">
                  <c:v>92</c:v>
                </c:pt>
                <c:pt idx="26">
                  <c:v>93</c:v>
                </c:pt>
                <c:pt idx="27">
                  <c:v>94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101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105</c:v>
                </c:pt>
                <c:pt idx="39">
                  <c:v>106</c:v>
                </c:pt>
                <c:pt idx="40">
                  <c:v>107</c:v>
                </c:pt>
                <c:pt idx="41">
                  <c:v>108</c:v>
                </c:pt>
                <c:pt idx="42">
                  <c:v>109</c:v>
                </c:pt>
                <c:pt idx="43">
                  <c:v>110</c:v>
                </c:pt>
                <c:pt idx="44">
                  <c:v>111</c:v>
                </c:pt>
              </c:strCache>
            </c:strRef>
          </c:cat>
          <c:val>
            <c:numRef>
              <c:f>Calculations!$Z$22:$Z$67</c:f>
              <c:numCache>
                <c:formatCode>#,##0</c:formatCode>
                <c:ptCount val="45"/>
                <c:pt idx="0">
                  <c:v>155490.23038991101</c:v>
                </c:pt>
                <c:pt idx="1">
                  <c:v>160154.93730160836</c:v>
                </c:pt>
                <c:pt idx="2">
                  <c:v>164959.5854206566</c:v>
                </c:pt>
                <c:pt idx="3">
                  <c:v>169908.37298327629</c:v>
                </c:pt>
                <c:pt idx="4">
                  <c:v>175005.62417277458</c:v>
                </c:pt>
                <c:pt idx="5">
                  <c:v>180255.79289795781</c:v>
                </c:pt>
                <c:pt idx="6">
                  <c:v>185663.46668489656</c:v>
                </c:pt>
                <c:pt idx="7">
                  <c:v>191233.37068544346</c:v>
                </c:pt>
                <c:pt idx="8">
                  <c:v>196970.37180600676</c:v>
                </c:pt>
                <c:pt idx="9">
                  <c:v>202879.48296018696</c:v>
                </c:pt>
                <c:pt idx="10">
                  <c:v>208965.86744899256</c:v>
                </c:pt>
                <c:pt idx="11">
                  <c:v>215234.84347246235</c:v>
                </c:pt>
                <c:pt idx="12">
                  <c:v>221691.88877663622</c:v>
                </c:pt>
                <c:pt idx="13">
                  <c:v>228342.6454399353</c:v>
                </c:pt>
                <c:pt idx="14">
                  <c:v>235192.92480313336</c:v>
                </c:pt>
                <c:pt idx="15">
                  <c:v>242248.71254722736</c:v>
                </c:pt>
                <c:pt idx="16">
                  <c:v>249516.17392364418</c:v>
                </c:pt>
                <c:pt idx="17">
                  <c:v>257001.65914135351</c:v>
                </c:pt>
                <c:pt idx="18">
                  <c:v>264711.70891559409</c:v>
                </c:pt>
                <c:pt idx="19">
                  <c:v>272653.06018306193</c:v>
                </c:pt>
                <c:pt idx="20">
                  <c:v>280832.65198855381</c:v>
                </c:pt>
                <c:pt idx="21">
                  <c:v>289257.63154821045</c:v>
                </c:pt>
                <c:pt idx="22">
                  <c:v>297935.36049465678</c:v>
                </c:pt>
                <c:pt idx="23">
                  <c:v>306873.42130949651</c:v>
                </c:pt>
                <c:pt idx="24">
                  <c:v>316079.6239487814</c:v>
                </c:pt>
                <c:pt idx="25">
                  <c:v>325562.01266724482</c:v>
                </c:pt>
                <c:pt idx="26">
                  <c:v>335328.8730472622</c:v>
                </c:pt>
                <c:pt idx="27">
                  <c:v>345388.73923868005</c:v>
                </c:pt>
                <c:pt idx="28">
                  <c:v>355750.40141584043</c:v>
                </c:pt>
                <c:pt idx="29">
                  <c:v>366422.91345831566</c:v>
                </c:pt>
                <c:pt idx="30">
                  <c:v>377415.60086206516</c:v>
                </c:pt>
                <c:pt idx="31">
                  <c:v>388738.0688879271</c:v>
                </c:pt>
                <c:pt idx="32">
                  <c:v>400400.21095456491</c:v>
                </c:pt>
                <c:pt idx="33">
                  <c:v>412412.21728320187</c:v>
                </c:pt>
                <c:pt idx="34">
                  <c:v>424784.58380169794</c:v>
                </c:pt>
                <c:pt idx="35">
                  <c:v>437528.1213157489</c:v>
                </c:pt>
                <c:pt idx="36">
                  <c:v>450653.9649552214</c:v>
                </c:pt>
                <c:pt idx="37">
                  <c:v>464173.58390387805</c:v>
                </c:pt>
                <c:pt idx="38">
                  <c:v>478098.79142099438</c:v>
                </c:pt>
                <c:pt idx="39">
                  <c:v>492441.75516362424</c:v>
                </c:pt>
                <c:pt idx="40">
                  <c:v>507215.00781853299</c:v>
                </c:pt>
                <c:pt idx="41">
                  <c:v>522431.45805308898</c:v>
                </c:pt>
                <c:pt idx="42">
                  <c:v>538104.40179468167</c:v>
                </c:pt>
                <c:pt idx="43">
                  <c:v>554247.53384852211</c:v>
                </c:pt>
                <c:pt idx="44">
                  <c:v>570874.95986397774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5-44C6-AC79-D2207B573E6B}"/>
            </c:ext>
          </c:extLst>
        </c:ser>
        <c:ser>
          <c:idx val="2"/>
          <c:order val="2"/>
          <c:tx>
            <c:strRef>
              <c:f>Calculations!$AA$21</c:f>
              <c:strCache>
                <c:ptCount val="1"/>
                <c:pt idx="0">
                  <c:v>Sum of Withdrawl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Calculations!$X$22:$X$67</c:f>
              <c:strCache>
                <c:ptCount val="45"/>
                <c:pt idx="0">
                  <c:v>67</c:v>
                </c:pt>
                <c:pt idx="1">
                  <c:v>68</c:v>
                </c:pt>
                <c:pt idx="2">
                  <c:v>69</c:v>
                </c:pt>
                <c:pt idx="3">
                  <c:v>70</c:v>
                </c:pt>
                <c:pt idx="4">
                  <c:v>71</c:v>
                </c:pt>
                <c:pt idx="5">
                  <c:v>72</c:v>
                </c:pt>
                <c:pt idx="6">
                  <c:v>73</c:v>
                </c:pt>
                <c:pt idx="7">
                  <c:v>74</c:v>
                </c:pt>
                <c:pt idx="8">
                  <c:v>75</c:v>
                </c:pt>
                <c:pt idx="9">
                  <c:v>76</c:v>
                </c:pt>
                <c:pt idx="10">
                  <c:v>77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87</c:v>
                </c:pt>
                <c:pt idx="21">
                  <c:v>88</c:v>
                </c:pt>
                <c:pt idx="22">
                  <c:v>89</c:v>
                </c:pt>
                <c:pt idx="23">
                  <c:v>90</c:v>
                </c:pt>
                <c:pt idx="24">
                  <c:v>91</c:v>
                </c:pt>
                <c:pt idx="25">
                  <c:v>92</c:v>
                </c:pt>
                <c:pt idx="26">
                  <c:v>93</c:v>
                </c:pt>
                <c:pt idx="27">
                  <c:v>94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101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105</c:v>
                </c:pt>
                <c:pt idx="39">
                  <c:v>106</c:v>
                </c:pt>
                <c:pt idx="40">
                  <c:v>107</c:v>
                </c:pt>
                <c:pt idx="41">
                  <c:v>108</c:v>
                </c:pt>
                <c:pt idx="42">
                  <c:v>109</c:v>
                </c:pt>
                <c:pt idx="43">
                  <c:v>110</c:v>
                </c:pt>
                <c:pt idx="44">
                  <c:v>111</c:v>
                </c:pt>
              </c:strCache>
            </c:strRef>
          </c:cat>
          <c:val>
            <c:numRef>
              <c:f>Calculations!$AA$22:$AA$67</c:f>
              <c:numCache>
                <c:formatCode>#,##0</c:formatCode>
                <c:ptCount val="45"/>
                <c:pt idx="0">
                  <c:v>239215.73906140155</c:v>
                </c:pt>
                <c:pt idx="1">
                  <c:v>246392.21123324361</c:v>
                </c:pt>
                <c:pt idx="2">
                  <c:v>253783.97757024091</c:v>
                </c:pt>
                <c:pt idx="3">
                  <c:v>261397.49689734814</c:v>
                </c:pt>
                <c:pt idx="4">
                  <c:v>269239.42180426855</c:v>
                </c:pt>
                <c:pt idx="5">
                  <c:v>277316.60445839661</c:v>
                </c:pt>
                <c:pt idx="6">
                  <c:v>285636.10259214853</c:v>
                </c:pt>
                <c:pt idx="7">
                  <c:v>294205.18566991301</c:v>
                </c:pt>
                <c:pt idx="8">
                  <c:v>303031.3412400104</c:v>
                </c:pt>
                <c:pt idx="9">
                  <c:v>312122.28147721069</c:v>
                </c:pt>
                <c:pt idx="10">
                  <c:v>321485.949921527</c:v>
                </c:pt>
                <c:pt idx="11">
                  <c:v>331130.52841917286</c:v>
                </c:pt>
                <c:pt idx="12">
                  <c:v>341064.44427174801</c:v>
                </c:pt>
                <c:pt idx="13">
                  <c:v>351296.37759990041</c:v>
                </c:pt>
                <c:pt idx="14">
                  <c:v>361835.26892789744</c:v>
                </c:pt>
                <c:pt idx="15">
                  <c:v>372690.32699573442</c:v>
                </c:pt>
                <c:pt idx="16">
                  <c:v>383871.03680560639</c:v>
                </c:pt>
                <c:pt idx="17">
                  <c:v>395387.16790977464</c:v>
                </c:pt>
                <c:pt idx="18">
                  <c:v>407248.78294706781</c:v>
                </c:pt>
                <c:pt idx="19">
                  <c:v>419466.2464354799</c:v>
                </c:pt>
                <c:pt idx="20">
                  <c:v>432050.23382854433</c:v>
                </c:pt>
                <c:pt idx="21">
                  <c:v>445011.74084340071</c:v>
                </c:pt>
                <c:pt idx="22">
                  <c:v>458362.09306870273</c:v>
                </c:pt>
                <c:pt idx="23">
                  <c:v>472112.95586076385</c:v>
                </c:pt>
                <c:pt idx="24">
                  <c:v>486276.34453658678</c:v>
                </c:pt>
                <c:pt idx="25">
                  <c:v>500864.63487268431</c:v>
                </c:pt>
                <c:pt idx="26">
                  <c:v>515890.57391886489</c:v>
                </c:pt>
                <c:pt idx="27">
                  <c:v>531367.29113643081</c:v>
                </c:pt>
                <c:pt idx="28">
                  <c:v>547308.30987052375</c:v>
                </c:pt>
                <c:pt idx="29">
                  <c:v>563727.55916663946</c:v>
                </c:pt>
                <c:pt idx="30">
                  <c:v>580639.38594163873</c:v>
                </c:pt>
                <c:pt idx="31">
                  <c:v>598058.56751988782</c:v>
                </c:pt>
                <c:pt idx="32">
                  <c:v>616000.3245454845</c:v>
                </c:pt>
                <c:pt idx="33">
                  <c:v>634480.33428184898</c:v>
                </c:pt>
                <c:pt idx="34">
                  <c:v>653514.74431030452</c:v>
                </c:pt>
                <c:pt idx="35">
                  <c:v>673120.1866396137</c:v>
                </c:pt>
                <c:pt idx="36">
                  <c:v>693313.79223880207</c:v>
                </c:pt>
                <c:pt idx="37">
                  <c:v>714113.20600596617</c:v>
                </c:pt>
                <c:pt idx="38">
                  <c:v>735536.60218614514</c:v>
                </c:pt>
                <c:pt idx="39">
                  <c:v>757602.70025172958</c:v>
                </c:pt>
                <c:pt idx="40">
                  <c:v>780330.78125928144</c:v>
                </c:pt>
                <c:pt idx="41">
                  <c:v>803740.70469705993</c:v>
                </c:pt>
                <c:pt idx="42">
                  <c:v>827852.92583797174</c:v>
                </c:pt>
                <c:pt idx="43">
                  <c:v>852688.51361311087</c:v>
                </c:pt>
                <c:pt idx="44">
                  <c:v>878269.16902150423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3-8B42-8B9C-39824166A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4205968"/>
        <c:axId val="704207048"/>
      </c:barChart>
      <c:catAx>
        <c:axId val="704205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07048"/>
        <c:crosses val="autoZero"/>
        <c:auto val="1"/>
        <c:lblAlgn val="ctr"/>
        <c:lblOffset val="100"/>
        <c:noMultiLvlLbl val="0"/>
      </c:catAx>
      <c:valAx>
        <c:axId val="70420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/>
                  <a:t>Withdrawals vs. Spending Over Time (in 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0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 Assignment (Arnav Mittal and Abhinav Wadhwa).xlsm]Calculations!PivotTable2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Retirement Savings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Calculations!$AD$21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Calculations!$AC$22:$AC$67</c:f>
              <c:strCache>
                <c:ptCount val="45"/>
                <c:pt idx="0">
                  <c:v>67</c:v>
                </c:pt>
                <c:pt idx="1">
                  <c:v>68</c:v>
                </c:pt>
                <c:pt idx="2">
                  <c:v>69</c:v>
                </c:pt>
                <c:pt idx="3">
                  <c:v>70</c:v>
                </c:pt>
                <c:pt idx="4">
                  <c:v>71</c:v>
                </c:pt>
                <c:pt idx="5">
                  <c:v>72</c:v>
                </c:pt>
                <c:pt idx="6">
                  <c:v>73</c:v>
                </c:pt>
                <c:pt idx="7">
                  <c:v>74</c:v>
                </c:pt>
                <c:pt idx="8">
                  <c:v>75</c:v>
                </c:pt>
                <c:pt idx="9">
                  <c:v>76</c:v>
                </c:pt>
                <c:pt idx="10">
                  <c:v>77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87</c:v>
                </c:pt>
                <c:pt idx="21">
                  <c:v>88</c:v>
                </c:pt>
                <c:pt idx="22">
                  <c:v>89</c:v>
                </c:pt>
                <c:pt idx="23">
                  <c:v>90</c:v>
                </c:pt>
                <c:pt idx="24">
                  <c:v>91</c:v>
                </c:pt>
                <c:pt idx="25">
                  <c:v>92</c:v>
                </c:pt>
                <c:pt idx="26">
                  <c:v>93</c:v>
                </c:pt>
                <c:pt idx="27">
                  <c:v>94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101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105</c:v>
                </c:pt>
                <c:pt idx="39">
                  <c:v>106</c:v>
                </c:pt>
                <c:pt idx="40">
                  <c:v>107</c:v>
                </c:pt>
                <c:pt idx="41">
                  <c:v>108</c:v>
                </c:pt>
                <c:pt idx="42">
                  <c:v>109</c:v>
                </c:pt>
                <c:pt idx="43">
                  <c:v>110</c:v>
                </c:pt>
                <c:pt idx="44">
                  <c:v>111</c:v>
                </c:pt>
              </c:strCache>
            </c:strRef>
          </c:cat>
          <c:val>
            <c:numRef>
              <c:f>Calculations!$AD$22:$AD$67</c:f>
              <c:numCache>
                <c:formatCode>#,##0</c:formatCode>
                <c:ptCount val="45"/>
                <c:pt idx="0">
                  <c:v>2343741.6416402399</c:v>
                </c:pt>
                <c:pt idx="1">
                  <c:v>2227240.8580413554</c:v>
                </c:pt>
                <c:pt idx="2">
                  <c:v>2097904.3992920998</c:v>
                </c:pt>
                <c:pt idx="3">
                  <c:v>1954880.162555842</c:v>
                </c:pt>
                <c:pt idx="4">
                  <c:v>1797267.1302817452</c:v>
                </c:pt>
                <c:pt idx="5">
                  <c:v>1624112.7351818872</c:v>
                </c:pt>
                <c:pt idx="6">
                  <c:v>1434410.0877786176</c:v>
                </c:pt>
                <c:pt idx="7">
                  <c:v>1227095.0594803139</c:v>
                </c:pt>
                <c:pt idx="8">
                  <c:v>1001043.2137864776</c:v>
                </c:pt>
                <c:pt idx="9">
                  <c:v>755066.57784791419</c:v>
                </c:pt>
                <c:pt idx="10">
                  <c:v>487910.24621358584</c:v>
                </c:pt>
                <c:pt idx="11">
                  <c:v>198248.80818173935</c:v>
                </c:pt>
                <c:pt idx="12">
                  <c:v>-115317.41026197522</c:v>
                </c:pt>
                <c:pt idx="13">
                  <c:v>-454266.29939345951</c:v>
                </c:pt>
                <c:pt idx="14">
                  <c:v>-820158.12354006968</c:v>
                </c:pt>
                <c:pt idx="15">
                  <c:v>-1214639.8941693185</c:v>
                </c:pt>
                <c:pt idx="16">
                  <c:v>-1639449.9692635969</c:v>
                </c:pt>
                <c:pt idx="17">
                  <c:v>-2096422.8905241636</c:v>
                </c:pt>
                <c:pt idx="18">
                  <c:v>-2587494.4705316802</c:v>
                </c:pt>
                <c:pt idx="19">
                  <c:v>-3114707.142604012</c:v>
                </c:pt>
                <c:pt idx="20">
                  <c:v>-3680215.5867363326</c:v>
                </c:pt>
                <c:pt idx="21">
                  <c:v>-4286292.6456853328</c:v>
                </c:pt>
                <c:pt idx="22">
                  <c:v>-4935335.5459701493</c:v>
                </c:pt>
                <c:pt idx="23">
                  <c:v>-5629872.4393092226</c:v>
                </c:pt>
                <c:pt idx="24">
                  <c:v>-6372569.2807964673</c:v>
                </c:pt>
                <c:pt idx="25">
                  <c:v>-7166237.0609437274</c:v>
                </c:pt>
                <c:pt idx="26">
                  <c:v>-8013839.4095815737</c:v>
                </c:pt>
                <c:pt idx="27">
                  <c:v>-8918500.5905190315</c:v>
                </c:pt>
                <c:pt idx="28">
                  <c:v>-9883513.9068171158</c:v>
                </c:pt>
                <c:pt idx="29">
                  <c:v>-10912350.537533268</c:v>
                </c:pt>
                <c:pt idx="30">
                  <c:v>-12008668.827846486</c:v>
                </c:pt>
                <c:pt idx="31">
                  <c:v>-13176324.055578461</c:v>
                </c:pt>
                <c:pt idx="32">
                  <c:v>-14419378.698287224</c:v>
                </c:pt>
                <c:pt idx="33">
                  <c:v>-15742113.226329321</c:v>
                </c:pt>
                <c:pt idx="34">
                  <c:v>-17149037.448567357</c:v>
                </c:pt>
                <c:pt idx="35">
                  <c:v>-18644902.43874494</c:v>
                </c:pt>
                <c:pt idx="36">
                  <c:v>-20234713.07196388</c:v>
                </c:pt>
                <c:pt idx="37">
                  <c:v>-21923741.202182211</c:v>
                </c:pt>
                <c:pt idx="38">
                  <c:v>-23717539.513210066</c:v>
                </c:pt>
                <c:pt idx="39">
                  <c:v>-25621956.077316877</c:v>
                </c:pt>
                <c:pt idx="40">
                  <c:v>-27643149.65728242</c:v>
                </c:pt>
                <c:pt idx="41">
                  <c:v>-29787605.78952923</c:v>
                </c:pt>
                <c:pt idx="42">
                  <c:v>-32062153.687869862</c:v>
                </c:pt>
                <c:pt idx="43">
                  <c:v>-34473984.009393454</c:v>
                </c:pt>
                <c:pt idx="44">
                  <c:v>-37030667.526107118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21-4E0E-9C1A-99E24359D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467688"/>
        <c:axId val="865468048"/>
      </c:lineChart>
      <c:catAx>
        <c:axId val="865467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48294510061242346"/>
              <c:y val="0.870094786729857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468048"/>
        <c:crosses val="autoZero"/>
        <c:auto val="1"/>
        <c:lblAlgn val="ctr"/>
        <c:lblOffset val="100"/>
        <c:noMultiLvlLbl val="0"/>
      </c:catAx>
      <c:valAx>
        <c:axId val="865468048"/>
        <c:scaling>
          <c:orientation val="minMax"/>
          <c:min val="-1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Assets</a:t>
                </a:r>
                <a:r>
                  <a:rPr lang="en-US" baseline="0"/>
                  <a:t> end (In 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467688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Age vs CPP Benefits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ZM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Calculations!$N$70:$N$80</c:f>
              <c:numCache>
                <c:formatCode>General</c:formatCode>
                <c:ptCount val="11"/>
                <c:pt idx="0">
                  <c:v>60</c:v>
                </c:pt>
                <c:pt idx="1">
                  <c:v>61</c:v>
                </c:pt>
                <c:pt idx="2">
                  <c:v>62</c:v>
                </c:pt>
                <c:pt idx="3">
                  <c:v>63</c:v>
                </c:pt>
                <c:pt idx="4">
                  <c:v>64</c:v>
                </c:pt>
                <c:pt idx="5">
                  <c:v>65</c:v>
                </c:pt>
                <c:pt idx="6">
                  <c:v>66</c:v>
                </c:pt>
                <c:pt idx="7">
                  <c:v>67</c:v>
                </c:pt>
                <c:pt idx="8">
                  <c:v>68</c:v>
                </c:pt>
                <c:pt idx="9">
                  <c:v>69</c:v>
                </c:pt>
                <c:pt idx="10">
                  <c:v>70</c:v>
                </c:pt>
              </c:numCache>
            </c:numRef>
          </c:cat>
          <c:val>
            <c:numRef>
              <c:f>Calculations!$O$70:$O$80</c:f>
              <c:numCache>
                <c:formatCode>0</c:formatCode>
                <c:ptCount val="11"/>
                <c:pt idx="0">
                  <c:v>7224.3102705513629</c:v>
                </c:pt>
                <c:pt idx="1">
                  <c:v>7784.8171018872445</c:v>
                </c:pt>
                <c:pt idx="2">
                  <c:v>8388.8115322060821</c:v>
                </c:pt>
                <c:pt idx="3">
                  <c:v>9039.667599360002</c:v>
                </c:pt>
                <c:pt idx="4">
                  <c:v>9741.0211200000012</c:v>
                </c:pt>
                <c:pt idx="5">
                  <c:v>10496.79</c:v>
                </c:pt>
                <c:pt idx="6">
                  <c:v>11378.520360000002</c:v>
                </c:pt>
                <c:pt idx="7">
                  <c:v>12334.316070240004</c:v>
                </c:pt>
                <c:pt idx="8">
                  <c:v>13370.398620140166</c:v>
                </c:pt>
                <c:pt idx="9">
                  <c:v>14493.512104231941</c:v>
                </c:pt>
                <c:pt idx="10">
                  <c:v>15710.967120987425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5-4A36-A5D2-13490F15D3A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871151776"/>
        <c:axId val="871152856"/>
      </c:barChart>
      <c:catAx>
        <c:axId val="871151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152856"/>
        <c:crosses val="autoZero"/>
        <c:auto val="1"/>
        <c:lblAlgn val="ctr"/>
        <c:lblOffset val="100"/>
        <c:noMultiLvlLbl val="0"/>
      </c:catAx>
      <c:valAx>
        <c:axId val="871152856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CPP Benfits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crossAx val="87115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 Assignment (Arnav Mittal and Abhinav Wadhwa).xlsm]Calculations!PivotTable4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Income</a:t>
            </a:r>
            <a:r>
              <a:rPr lang="en-GB" baseline="0"/>
              <a:t> vs Saving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Calculations!$AG$21</c:f>
              <c:strCache>
                <c:ptCount val="1"/>
                <c:pt idx="0">
                  <c:v>Employer Contribution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Calculations!$AF$22:$AF$68</c:f>
              <c:strCache>
                <c:ptCount val="46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</c:strCache>
            </c:strRef>
          </c:cat>
          <c:val>
            <c:numRef>
              <c:f>Calculations!$AG$22:$AG$68</c:f>
              <c:numCache>
                <c:formatCode>#,##0</c:formatCode>
                <c:ptCount val="46"/>
                <c:pt idx="0">
                  <c:v>10000</c:v>
                </c:pt>
                <c:pt idx="1">
                  <c:v>10300</c:v>
                </c:pt>
                <c:pt idx="2">
                  <c:v>10609</c:v>
                </c:pt>
                <c:pt idx="3">
                  <c:v>10927.27</c:v>
                </c:pt>
                <c:pt idx="4">
                  <c:v>11255.088100000001</c:v>
                </c:pt>
                <c:pt idx="5">
                  <c:v>11592.740743</c:v>
                </c:pt>
                <c:pt idx="6">
                  <c:v>11940.522965290002</c:v>
                </c:pt>
                <c:pt idx="7">
                  <c:v>12298.7386542487</c:v>
                </c:pt>
                <c:pt idx="8">
                  <c:v>12667.700813876161</c:v>
                </c:pt>
                <c:pt idx="9">
                  <c:v>13047.731838292448</c:v>
                </c:pt>
                <c:pt idx="10">
                  <c:v>13439.163793441221</c:v>
                </c:pt>
                <c:pt idx="11">
                  <c:v>13842.338707244458</c:v>
                </c:pt>
                <c:pt idx="12">
                  <c:v>14257.608868461793</c:v>
                </c:pt>
                <c:pt idx="13">
                  <c:v>14685.337134515647</c:v>
                </c:pt>
                <c:pt idx="14">
                  <c:v>15125.897248551117</c:v>
                </c:pt>
                <c:pt idx="15">
                  <c:v>15579.67416600765</c:v>
                </c:pt>
                <c:pt idx="16">
                  <c:v>16047.06439098788</c:v>
                </c:pt>
                <c:pt idx="17">
                  <c:v>16528.476322717517</c:v>
                </c:pt>
                <c:pt idx="18">
                  <c:v>17024.330612399044</c:v>
                </c:pt>
                <c:pt idx="19">
                  <c:v>17535.060530771014</c:v>
                </c:pt>
                <c:pt idx="20">
                  <c:v>18061.112346694146</c:v>
                </c:pt>
                <c:pt idx="21">
                  <c:v>18602.945717094972</c:v>
                </c:pt>
                <c:pt idx="22">
                  <c:v>19161.034088607819</c:v>
                </c:pt>
                <c:pt idx="23">
                  <c:v>19735.865111266055</c:v>
                </c:pt>
                <c:pt idx="24">
                  <c:v>20327.941064604034</c:v>
                </c:pt>
                <c:pt idx="25">
                  <c:v>20937.779296542158</c:v>
                </c:pt>
                <c:pt idx="26">
                  <c:v>21565.912675438423</c:v>
                </c:pt>
                <c:pt idx="27">
                  <c:v>22212.890055701577</c:v>
                </c:pt>
                <c:pt idx="28">
                  <c:v>22879.276757372627</c:v>
                </c:pt>
                <c:pt idx="29">
                  <c:v>23565.655060093806</c:v>
                </c:pt>
                <c:pt idx="30">
                  <c:v>24272.62471189662</c:v>
                </c:pt>
                <c:pt idx="31">
                  <c:v>25000.80345325352</c:v>
                </c:pt>
                <c:pt idx="32">
                  <c:v>25750.827556851127</c:v>
                </c:pt>
                <c:pt idx="33">
                  <c:v>26523.352383556659</c:v>
                </c:pt>
                <c:pt idx="34">
                  <c:v>27319.052955063366</c:v>
                </c:pt>
                <c:pt idx="35">
                  <c:v>28138.624543715265</c:v>
                </c:pt>
                <c:pt idx="36">
                  <c:v>28982.783280026721</c:v>
                </c:pt>
                <c:pt idx="37">
                  <c:v>29852.266778427525</c:v>
                </c:pt>
                <c:pt idx="38">
                  <c:v>30747.834781780351</c:v>
                </c:pt>
                <c:pt idx="39">
                  <c:v>31670.269825233765</c:v>
                </c:pt>
                <c:pt idx="40">
                  <c:v>32620.37791999078</c:v>
                </c:pt>
                <c:pt idx="41">
                  <c:v>33598.989257590503</c:v>
                </c:pt>
                <c:pt idx="42">
                  <c:v>34606.958935318216</c:v>
                </c:pt>
                <c:pt idx="43">
                  <c:v>35645.167703377767</c:v>
                </c:pt>
                <c:pt idx="44">
                  <c:v>36714.522734479098</c:v>
                </c:pt>
                <c:pt idx="45">
                  <c:v>37815.95841651348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7-2848-838B-4A3CF2726FC0}"/>
            </c:ext>
          </c:extLst>
        </c:ser>
        <c:ser>
          <c:idx val="1"/>
          <c:order val="1"/>
          <c:tx>
            <c:strRef>
              <c:f>Calculations!$AH$21</c:f>
              <c:strCache>
                <c:ptCount val="1"/>
                <c:pt idx="0">
                  <c:v>Bob's Saving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Calculations!$AF$22:$AF$68</c:f>
              <c:strCache>
                <c:ptCount val="46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</c:strCache>
            </c:strRef>
          </c:cat>
          <c:val>
            <c:numRef>
              <c:f>Calculations!$AH$22:$AH$68</c:f>
              <c:numCache>
                <c:formatCode>#,##0</c:formatCode>
                <c:ptCount val="46"/>
                <c:pt idx="0">
                  <c:v>8000</c:v>
                </c:pt>
                <c:pt idx="1">
                  <c:v>8240</c:v>
                </c:pt>
                <c:pt idx="2">
                  <c:v>8487.2000000000007</c:v>
                </c:pt>
                <c:pt idx="3">
                  <c:v>8741.8159999999989</c:v>
                </c:pt>
                <c:pt idx="4">
                  <c:v>9004.0704800000003</c:v>
                </c:pt>
                <c:pt idx="5">
                  <c:v>9274.1925943999995</c:v>
                </c:pt>
                <c:pt idx="6">
                  <c:v>9552.4183722319995</c:v>
                </c:pt>
                <c:pt idx="7">
                  <c:v>9838.9909233989601</c:v>
                </c:pt>
                <c:pt idx="8">
                  <c:v>10134.160651100929</c:v>
                </c:pt>
                <c:pt idx="9">
                  <c:v>10438.185470633958</c:v>
                </c:pt>
                <c:pt idx="10">
                  <c:v>10751.331034752975</c:v>
                </c:pt>
                <c:pt idx="11">
                  <c:v>11073.870965795566</c:v>
                </c:pt>
                <c:pt idx="12">
                  <c:v>11406.087094769433</c:v>
                </c:pt>
                <c:pt idx="13">
                  <c:v>11748.269707612517</c:v>
                </c:pt>
                <c:pt idx="14">
                  <c:v>12100.717798840893</c:v>
                </c:pt>
                <c:pt idx="15">
                  <c:v>12463.739332806119</c:v>
                </c:pt>
                <c:pt idx="16">
                  <c:v>12837.651512790304</c:v>
                </c:pt>
                <c:pt idx="17">
                  <c:v>13222.781058174012</c:v>
                </c:pt>
                <c:pt idx="18">
                  <c:v>13619.464489919234</c:v>
                </c:pt>
                <c:pt idx="19">
                  <c:v>14028.048424616811</c:v>
                </c:pt>
                <c:pt idx="20">
                  <c:v>14448.889877355316</c:v>
                </c:pt>
                <c:pt idx="21">
                  <c:v>14882.356573675976</c:v>
                </c:pt>
                <c:pt idx="22">
                  <c:v>15328.827270886255</c:v>
                </c:pt>
                <c:pt idx="23">
                  <c:v>15788.692089012842</c:v>
                </c:pt>
                <c:pt idx="24">
                  <c:v>16262.352851683227</c:v>
                </c:pt>
                <c:pt idx="25">
                  <c:v>16750.223437233726</c:v>
                </c:pt>
                <c:pt idx="26">
                  <c:v>17252.730140350737</c:v>
                </c:pt>
                <c:pt idx="27">
                  <c:v>17770.312044561262</c:v>
                </c:pt>
                <c:pt idx="28">
                  <c:v>18303.421405898102</c:v>
                </c:pt>
                <c:pt idx="29">
                  <c:v>18852.524048075044</c:v>
                </c:pt>
                <c:pt idx="30">
                  <c:v>19418.099769517295</c:v>
                </c:pt>
                <c:pt idx="31">
                  <c:v>20000.642762602816</c:v>
                </c:pt>
                <c:pt idx="32">
                  <c:v>20600.662045480902</c:v>
                </c:pt>
                <c:pt idx="33">
                  <c:v>21218.681906845326</c:v>
                </c:pt>
                <c:pt idx="34">
                  <c:v>21855.24236405069</c:v>
                </c:pt>
                <c:pt idx="35">
                  <c:v>22510.899634972211</c:v>
                </c:pt>
                <c:pt idx="36">
                  <c:v>23186.226624021376</c:v>
                </c:pt>
                <c:pt idx="37">
                  <c:v>23881.81342274202</c:v>
                </c:pt>
                <c:pt idx="38">
                  <c:v>24598.267825424278</c:v>
                </c:pt>
                <c:pt idx="39">
                  <c:v>25336.215860187011</c:v>
                </c:pt>
                <c:pt idx="40">
                  <c:v>26096.302335992623</c:v>
                </c:pt>
                <c:pt idx="41">
                  <c:v>26879.191406072401</c:v>
                </c:pt>
                <c:pt idx="42">
                  <c:v>27685.567148254573</c:v>
                </c:pt>
                <c:pt idx="43">
                  <c:v>28516.134162702212</c:v>
                </c:pt>
                <c:pt idx="44">
                  <c:v>29371.618187583281</c:v>
                </c:pt>
                <c:pt idx="45">
                  <c:v>30252.766733210781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47-2848-838B-4A3CF2726FC0}"/>
            </c:ext>
          </c:extLst>
        </c:ser>
        <c:ser>
          <c:idx val="2"/>
          <c:order val="2"/>
          <c:tx>
            <c:strRef>
              <c:f>Calculations!$AI$21</c:f>
              <c:strCache>
                <c:ptCount val="1"/>
                <c:pt idx="0">
                  <c:v>Bob's Income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Calculations!$AF$22:$AF$68</c:f>
              <c:strCache>
                <c:ptCount val="46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</c:strCache>
            </c:strRef>
          </c:cat>
          <c:val>
            <c:numRef>
              <c:f>Calculations!$AI$22:$AI$68</c:f>
              <c:numCache>
                <c:formatCode>#,##0</c:formatCode>
                <c:ptCount val="46"/>
                <c:pt idx="0">
                  <c:v>100000</c:v>
                </c:pt>
                <c:pt idx="1">
                  <c:v>103000</c:v>
                </c:pt>
                <c:pt idx="2">
                  <c:v>106090</c:v>
                </c:pt>
                <c:pt idx="3">
                  <c:v>109272.7</c:v>
                </c:pt>
                <c:pt idx="4">
                  <c:v>112550.88099999999</c:v>
                </c:pt>
                <c:pt idx="5">
                  <c:v>115927.40742999999</c:v>
                </c:pt>
                <c:pt idx="6">
                  <c:v>119405.2296529</c:v>
                </c:pt>
                <c:pt idx="7">
                  <c:v>122987.386542487</c:v>
                </c:pt>
                <c:pt idx="8">
                  <c:v>126677.00813876161</c:v>
                </c:pt>
                <c:pt idx="9">
                  <c:v>130477.31838292447</c:v>
                </c:pt>
                <c:pt idx="10">
                  <c:v>134391.6379344122</c:v>
                </c:pt>
                <c:pt idx="11">
                  <c:v>138423.38707244457</c:v>
                </c:pt>
                <c:pt idx="12">
                  <c:v>142576.08868461792</c:v>
                </c:pt>
                <c:pt idx="13">
                  <c:v>146853.37134515645</c:v>
                </c:pt>
                <c:pt idx="14">
                  <c:v>151258.97248551116</c:v>
                </c:pt>
                <c:pt idx="15">
                  <c:v>155796.74166007648</c:v>
                </c:pt>
                <c:pt idx="16">
                  <c:v>160470.6439098788</c:v>
                </c:pt>
                <c:pt idx="17">
                  <c:v>165284.76322717516</c:v>
                </c:pt>
                <c:pt idx="18">
                  <c:v>170243.30612399042</c:v>
                </c:pt>
                <c:pt idx="19">
                  <c:v>175350.60530771012</c:v>
                </c:pt>
                <c:pt idx="20">
                  <c:v>180611.12346694144</c:v>
                </c:pt>
                <c:pt idx="21">
                  <c:v>186029.4571709497</c:v>
                </c:pt>
                <c:pt idx="22">
                  <c:v>191610.34088607819</c:v>
                </c:pt>
                <c:pt idx="23">
                  <c:v>197358.65111266053</c:v>
                </c:pt>
                <c:pt idx="24">
                  <c:v>203279.41064604034</c:v>
                </c:pt>
                <c:pt idx="25">
                  <c:v>209377.79296542157</c:v>
                </c:pt>
                <c:pt idx="26">
                  <c:v>215659.12675438423</c:v>
                </c:pt>
                <c:pt idx="27">
                  <c:v>222128.90055701576</c:v>
                </c:pt>
                <c:pt idx="28">
                  <c:v>228792.76757372625</c:v>
                </c:pt>
                <c:pt idx="29">
                  <c:v>235656.55060093803</c:v>
                </c:pt>
                <c:pt idx="30">
                  <c:v>242726.24711896619</c:v>
                </c:pt>
                <c:pt idx="31">
                  <c:v>250008.03453253518</c:v>
                </c:pt>
                <c:pt idx="32">
                  <c:v>257508.27556851125</c:v>
                </c:pt>
                <c:pt idx="33">
                  <c:v>265233.52383556659</c:v>
                </c:pt>
                <c:pt idx="34">
                  <c:v>273190.52955063363</c:v>
                </c:pt>
                <c:pt idx="35">
                  <c:v>281386.24543715263</c:v>
                </c:pt>
                <c:pt idx="36">
                  <c:v>289827.83280026721</c:v>
                </c:pt>
                <c:pt idx="37">
                  <c:v>298522.66778427525</c:v>
                </c:pt>
                <c:pt idx="38">
                  <c:v>307478.3478178035</c:v>
                </c:pt>
                <c:pt idx="39">
                  <c:v>316702.69825233764</c:v>
                </c:pt>
                <c:pt idx="40">
                  <c:v>326203.77919990779</c:v>
                </c:pt>
                <c:pt idx="41">
                  <c:v>335989.89257590502</c:v>
                </c:pt>
                <c:pt idx="42">
                  <c:v>346069.58935318218</c:v>
                </c:pt>
                <c:pt idx="43">
                  <c:v>356451.67703377764</c:v>
                </c:pt>
                <c:pt idx="44">
                  <c:v>367145.227344791</c:v>
                </c:pt>
                <c:pt idx="45">
                  <c:v>378159.58416513476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47-2848-838B-4A3CF272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026966272"/>
        <c:axId val="2026967984"/>
        <c:axId val="0"/>
      </c:bar3DChart>
      <c:catAx>
        <c:axId val="20269662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ZM"/>
          </a:p>
        </c:txPr>
        <c:crossAx val="2026967984"/>
        <c:crosses val="autoZero"/>
        <c:auto val="1"/>
        <c:lblAlgn val="ctr"/>
        <c:lblOffset val="100"/>
        <c:noMultiLvlLbl val="0"/>
      </c:catAx>
      <c:valAx>
        <c:axId val="202696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Income</a:t>
                </a:r>
                <a:r>
                  <a:rPr lang="en-GB" baseline="0"/>
                  <a:t> and Savings (In $)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ZM"/>
          </a:p>
        </c:txPr>
        <c:crossAx val="202696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ZM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ZM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Calculations!$D$18" max="111" min="40" page="10" val="67"/>
</file>

<file path=xl/ctrlProps/ctrlProp2.xml><?xml version="1.0" encoding="utf-8"?>
<formControlPr xmlns="http://schemas.microsoft.com/office/spreadsheetml/2009/9/main" objectType="Scroll" dx="15" fmlaLink="Calculations!$D$17" horiz="1" max="100" page="10" val="70"/>
</file>

<file path=xl/ctrlProps/ctrlProp3.xml><?xml version="1.0" encoding="utf-8"?>
<formControlPr xmlns="http://schemas.microsoft.com/office/spreadsheetml/2009/9/main" objectType="Scroll" dx="15" fmlaLink="Calculations!$D$16" horiz="1" max="100" page="10" val="8"/>
</file>

<file path=xl/ctrlProps/ctrlProp4.xml><?xml version="1.0" encoding="utf-8"?>
<formControlPr xmlns="http://schemas.microsoft.com/office/spreadsheetml/2009/9/main" objectType="Radio" firstButton="1" fmlaLink="$X$5" lockText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Scroll" dx="15" fmlaLink="Calculations!$D$12" horiz="1" max="20" page="10" val="3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hyperlink" Target="#Contribution!A1"/><Relationship Id="rId3" Type="http://schemas.openxmlformats.org/officeDocument/2006/relationships/image" Target="../media/image2.svg"/><Relationship Id="rId7" Type="http://schemas.openxmlformats.org/officeDocument/2006/relationships/chart" Target="../charts/chart1.xml"/><Relationship Id="rId12" Type="http://schemas.openxmlformats.org/officeDocument/2006/relationships/image" Target="../media/image6.svg"/><Relationship Id="rId2" Type="http://schemas.openxmlformats.org/officeDocument/2006/relationships/image" Target="../media/image1.png"/><Relationship Id="rId16" Type="http://schemas.openxmlformats.org/officeDocument/2006/relationships/chart" Target="../charts/chart4.xml"/><Relationship Id="rId1" Type="http://schemas.openxmlformats.org/officeDocument/2006/relationships/hyperlink" Target="#Dashboard!A1"/><Relationship Id="rId6" Type="http://schemas.openxmlformats.org/officeDocument/2006/relationships/image" Target="../media/image4.svg"/><Relationship Id="rId11" Type="http://schemas.openxmlformats.org/officeDocument/2006/relationships/image" Target="../media/image5.png"/><Relationship Id="rId5" Type="http://schemas.openxmlformats.org/officeDocument/2006/relationships/image" Target="../media/image3.png"/><Relationship Id="rId15" Type="http://schemas.openxmlformats.org/officeDocument/2006/relationships/image" Target="../media/image8.svg"/><Relationship Id="rId10" Type="http://schemas.openxmlformats.org/officeDocument/2006/relationships/hyperlink" Target="#'Golden Data'!A1"/><Relationship Id="rId4" Type="http://schemas.openxmlformats.org/officeDocument/2006/relationships/hyperlink" Target="#Calculations!A1"/><Relationship Id="rId9" Type="http://schemas.openxmlformats.org/officeDocument/2006/relationships/chart" Target="../charts/chart3.xml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Contribution!A1"/><Relationship Id="rId3" Type="http://schemas.openxmlformats.org/officeDocument/2006/relationships/customXml" Target="../ink/ink2.xml"/><Relationship Id="rId7" Type="http://schemas.openxmlformats.org/officeDocument/2006/relationships/hyperlink" Target="#Calculations!A1"/><Relationship Id="rId12" Type="http://schemas.openxmlformats.org/officeDocument/2006/relationships/image" Target="../media/image9.svg"/><Relationship Id="rId2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2.svg"/><Relationship Id="rId11" Type="http://schemas.openxmlformats.org/officeDocument/2006/relationships/image" Target="../media/image5.png"/><Relationship Id="rId5" Type="http://schemas.openxmlformats.org/officeDocument/2006/relationships/image" Target="../media/image1.png"/><Relationship Id="rId15" Type="http://schemas.openxmlformats.org/officeDocument/2006/relationships/image" Target="../media/image8.svg"/><Relationship Id="rId10" Type="http://schemas.openxmlformats.org/officeDocument/2006/relationships/hyperlink" Target="#'Golden Data'!A1"/><Relationship Id="rId4" Type="http://schemas.openxmlformats.org/officeDocument/2006/relationships/hyperlink" Target="#Dashboard!A1"/><Relationship Id="rId9" Type="http://schemas.openxmlformats.org/officeDocument/2006/relationships/image" Target="../media/image4.svg"/><Relationship Id="rId1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'Golden Data'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Contribution!A1"/><Relationship Id="rId4" Type="http://schemas.openxmlformats.org/officeDocument/2006/relationships/hyperlink" Target="#Calculations!A1"/><Relationship Id="rId9" Type="http://schemas.openxmlformats.org/officeDocument/2006/relationships/image" Target="../media/image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0.jpeg"/><Relationship Id="rId3" Type="http://schemas.openxmlformats.org/officeDocument/2006/relationships/image" Target="../media/image2.svg"/><Relationship Id="rId7" Type="http://schemas.openxmlformats.org/officeDocument/2006/relationships/hyperlink" Target="#'Golden Data'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Contribution!A1"/><Relationship Id="rId4" Type="http://schemas.openxmlformats.org/officeDocument/2006/relationships/hyperlink" Target="#Calculations!A1"/><Relationship Id="rId9" Type="http://schemas.openxmlformats.org/officeDocument/2006/relationships/image" Target="../media/image9.svg"/><Relationship Id="rId14" Type="http://schemas.openxmlformats.org/officeDocument/2006/relationships/image" Target="../media/image1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215900</xdr:colOff>
      <xdr:row>5</xdr:row>
      <xdr:rowOff>76200</xdr:rowOff>
    </xdr:from>
    <xdr:to>
      <xdr:col>8</xdr:col>
      <xdr:colOff>539750</xdr:colOff>
      <xdr:row>11</xdr:row>
      <xdr:rowOff>69850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36CB5E20-4ED5-7A48-AFE0-B41049B14ED1}"/>
            </a:ext>
          </a:extLst>
        </xdr:cNvPr>
        <xdr:cNvSpPr/>
      </xdr:nvSpPr>
      <xdr:spPr>
        <a:xfrm>
          <a:off x="6718300" y="1092200"/>
          <a:ext cx="1593850" cy="12382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GB" sz="1500">
            <a:solidFill>
              <a:schemeClr val="lt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269875</xdr:colOff>
      <xdr:row>1</xdr:row>
      <xdr:rowOff>44450</xdr:rowOff>
    </xdr:from>
    <xdr:to>
      <xdr:col>6</xdr:col>
      <xdr:colOff>815975</xdr:colOff>
      <xdr:row>11</xdr:row>
      <xdr:rowOff>193675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2F2CD0ED-9BBC-3183-B0CE-DC066330DD89}"/>
            </a:ext>
          </a:extLst>
        </xdr:cNvPr>
        <xdr:cNvSpPr/>
      </xdr:nvSpPr>
      <xdr:spPr>
        <a:xfrm>
          <a:off x="1889125" y="244475"/>
          <a:ext cx="3965575" cy="21780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GB" sz="1500">
            <a:solidFill>
              <a:schemeClr val="lt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505581</xdr:colOff>
          <xdr:row>2</xdr:row>
          <xdr:rowOff>152400</xdr:rowOff>
        </xdr:from>
        <xdr:to>
          <xdr:col>3</xdr:col>
          <xdr:colOff>315081</xdr:colOff>
          <xdr:row>10</xdr:row>
          <xdr:rowOff>76200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5</xdr:col>
      <xdr:colOff>520700</xdr:colOff>
      <xdr:row>1</xdr:row>
      <xdr:rowOff>155575</xdr:rowOff>
    </xdr:from>
    <xdr:ext cx="1066800" cy="280205"/>
    <xdr:sp macro="" textlink="$X$1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568825" y="355600"/>
          <a:ext cx="1066800" cy="280205"/>
        </a:xfrm>
        <a:prstGeom prst="rect">
          <a:avLst/>
        </a:prstGeom>
        <a:ln w="28575">
          <a:solidFill>
            <a:srgbClr val="00206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F2380B7A-9070-2948-BABF-C7D18F6D1EC0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67</a:t>
          </a:fld>
          <a:endParaRPr lang="en-GB" sz="1100" b="1"/>
        </a:p>
      </xdr:txBody>
    </xdr:sp>
    <xdr:clientData/>
  </xdr:oneCellAnchor>
  <xdr:oneCellAnchor>
    <xdr:from>
      <xdr:col>3</xdr:col>
      <xdr:colOff>466724</xdr:colOff>
      <xdr:row>1</xdr:row>
      <xdr:rowOff>114299</xdr:rowOff>
    </xdr:from>
    <xdr:ext cx="1590675" cy="35242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95599" y="314324"/>
          <a:ext cx="1590675" cy="352425"/>
        </a:xfrm>
        <a:prstGeom prst="flowChartAlternateProcess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b">
          <a:noAutofit/>
        </a:bodyPr>
        <a:lstStyle/>
        <a:p>
          <a:pPr algn="ctr"/>
          <a:r>
            <a:rPr lang="en-GB" sz="1400" b="1" u="none">
              <a:solidFill>
                <a:schemeClr val="bg1"/>
              </a:solidFill>
            </a:rPr>
            <a:t>Set</a:t>
          </a:r>
          <a:r>
            <a:rPr lang="en-GB" sz="1400" b="1" u="none" baseline="0">
              <a:solidFill>
                <a:schemeClr val="bg1"/>
              </a:solidFill>
            </a:rPr>
            <a:t> </a:t>
          </a:r>
          <a:r>
            <a:rPr lang="en-GB" sz="1400" b="1" u="none">
              <a:solidFill>
                <a:schemeClr val="bg1"/>
              </a:solidFill>
            </a:rPr>
            <a:t>Retirement</a:t>
          </a:r>
          <a:r>
            <a:rPr lang="en-GB" sz="1400" b="1" u="none" baseline="0">
              <a:solidFill>
                <a:schemeClr val="bg1"/>
              </a:solidFill>
            </a:rPr>
            <a:t> Age</a:t>
          </a:r>
        </a:p>
      </xdr:txBody>
    </xdr:sp>
    <xdr:clientData/>
  </xdr:oneCellAnchor>
  <xdr:oneCellAnchor>
    <xdr:from>
      <xdr:col>3</xdr:col>
      <xdr:colOff>711200</xdr:colOff>
      <xdr:row>6</xdr:row>
      <xdr:rowOff>171450</xdr:rowOff>
    </xdr:from>
    <xdr:ext cx="1404359" cy="28020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140075" y="1371600"/>
          <a:ext cx="140435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Funds</a:t>
          </a:r>
          <a:r>
            <a:rPr lang="en-GB" sz="1200" b="1" baseline="0">
              <a:solidFill>
                <a:schemeClr val="bg1"/>
              </a:solidFill>
            </a:rPr>
            <a:t> Run Out Age</a:t>
          </a:r>
          <a:endParaRPr lang="en-GB" sz="12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609600</xdr:colOff>
      <xdr:row>6</xdr:row>
      <xdr:rowOff>186924</xdr:rowOff>
    </xdr:from>
    <xdr:ext cx="800100" cy="280205"/>
    <xdr:sp macro="" textlink="$X$2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4657725" y="1387074"/>
          <a:ext cx="800100" cy="280205"/>
        </a:xfrm>
        <a:prstGeom prst="rect">
          <a:avLst/>
        </a:prstGeom>
        <a:ln w="28575">
          <a:solidFill>
            <a:srgbClr val="00206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9515EDC-28B5-6245-9BB5-34A68E5C31BE}" type="TxLink">
            <a:rPr lang="en-US" sz="1200" b="1" i="0" u="none" strike="noStrike">
              <a:solidFill>
                <a:srgbClr val="FF0000"/>
              </a:solidFill>
              <a:latin typeface="Calibri"/>
              <a:ea typeface="+mn-ea"/>
              <a:cs typeface="Calibri"/>
            </a:rPr>
            <a:pPr marL="0" indent="0" algn="ctr"/>
            <a:t>79</a:t>
          </a:fld>
          <a:endParaRPr lang="en-GB" sz="1200" b="1" i="0" u="none" strike="noStrike">
            <a:solidFill>
              <a:srgbClr val="FF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</xdr:col>
      <xdr:colOff>1244600</xdr:colOff>
      <xdr:row>45</xdr:row>
      <xdr:rowOff>40640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225669A-5A66-9E54-BF95-4CF22D608A0B}"/>
            </a:ext>
          </a:extLst>
        </xdr:cNvPr>
        <xdr:cNvSpPr/>
      </xdr:nvSpPr>
      <xdr:spPr>
        <a:xfrm>
          <a:off x="0" y="0"/>
          <a:ext cx="2057400" cy="9311640"/>
        </a:xfrm>
        <a:prstGeom prst="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279400</xdr:colOff>
      <xdr:row>0</xdr:row>
      <xdr:rowOff>101600</xdr:rowOff>
    </xdr:from>
    <xdr:to>
      <xdr:col>1</xdr:col>
      <xdr:colOff>1041400</xdr:colOff>
      <xdr:row>7</xdr:row>
      <xdr:rowOff>114300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AE449048-CB75-1E51-3118-46529D096FD4}"/>
            </a:ext>
          </a:extLst>
        </xdr:cNvPr>
        <xdr:cNvSpPr/>
      </xdr:nvSpPr>
      <xdr:spPr>
        <a:xfrm>
          <a:off x="279400" y="101600"/>
          <a:ext cx="1574800" cy="1435100"/>
        </a:xfrm>
        <a:prstGeom prst="roundRect">
          <a:avLst>
            <a:gd name="adj" fmla="val 32353"/>
          </a:avLst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/>
            <a:t>BOB'S</a:t>
          </a:r>
          <a:r>
            <a:rPr lang="en-GB" sz="1500" baseline="0"/>
            <a:t> RETIREMENT MODEL</a:t>
          </a:r>
          <a:endParaRPr lang="en-GB" sz="1500"/>
        </a:p>
      </xdr:txBody>
    </xdr:sp>
    <xdr:clientData/>
  </xdr:twoCellAnchor>
  <xdr:twoCellAnchor editAs="oneCell">
    <xdr:from>
      <xdr:col>0</xdr:col>
      <xdr:colOff>101600</xdr:colOff>
      <xdr:row>8</xdr:row>
      <xdr:rowOff>2608</xdr:rowOff>
    </xdr:from>
    <xdr:to>
      <xdr:col>1</xdr:col>
      <xdr:colOff>1206500</xdr:colOff>
      <xdr:row>14</xdr:row>
      <xdr:rowOff>177800</xdr:rowOff>
    </xdr:to>
    <xdr:pic>
      <xdr:nvPicPr>
        <xdr:cNvPr id="8" name="Graphic 7" descr="Bar chart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814F9E-3D0A-FA0A-DCE1-8C7441689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1600" y="1628208"/>
          <a:ext cx="1917700" cy="1483292"/>
        </a:xfrm>
        <a:prstGeom prst="rect">
          <a:avLst/>
        </a:prstGeom>
      </xdr:spPr>
    </xdr:pic>
    <xdr:clientData/>
  </xdr:twoCellAnchor>
  <xdr:twoCellAnchor editAs="oneCell">
    <xdr:from>
      <xdr:col>0</xdr:col>
      <xdr:colOff>162700</xdr:colOff>
      <xdr:row>15</xdr:row>
      <xdr:rowOff>63500</xdr:rowOff>
    </xdr:from>
    <xdr:to>
      <xdr:col>1</xdr:col>
      <xdr:colOff>1066800</xdr:colOff>
      <xdr:row>22</xdr:row>
      <xdr:rowOff>73800</xdr:rowOff>
    </xdr:to>
    <xdr:pic>
      <xdr:nvPicPr>
        <xdr:cNvPr id="10" name="Graphic 9" descr="Tabl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BEDA72-C69F-69A2-C9F4-94731F3AF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2700" y="3200400"/>
          <a:ext cx="1716900" cy="1470800"/>
        </a:xfrm>
        <a:prstGeom prst="rect">
          <a:avLst/>
        </a:prstGeom>
      </xdr:spPr>
    </xdr:pic>
    <xdr:clientData/>
  </xdr:twoCellAnchor>
  <xdr:oneCellAnchor>
    <xdr:from>
      <xdr:col>0</xdr:col>
      <xdr:colOff>444500</xdr:colOff>
      <xdr:row>13</xdr:row>
      <xdr:rowOff>254000</xdr:rowOff>
    </xdr:from>
    <xdr:ext cx="1218860" cy="327141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0EFB0C0-C692-B2D7-EF3E-1B75BC84AEF6}"/>
            </a:ext>
          </a:extLst>
        </xdr:cNvPr>
        <xdr:cNvSpPr txBox="1"/>
      </xdr:nvSpPr>
      <xdr:spPr>
        <a:xfrm>
          <a:off x="444500" y="2921000"/>
          <a:ext cx="121886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oneCellAnchor>
  <xdr:oneCellAnchor>
    <xdr:from>
      <xdr:col>0</xdr:col>
      <xdr:colOff>139700</xdr:colOff>
      <xdr:row>20</xdr:row>
      <xdr:rowOff>190500</xdr:rowOff>
    </xdr:from>
    <xdr:ext cx="1712328" cy="327141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081F4EA-CC8E-3E07-5488-2761E263160D}"/>
            </a:ext>
          </a:extLst>
        </xdr:cNvPr>
        <xdr:cNvSpPr txBox="1"/>
      </xdr:nvSpPr>
      <xdr:spPr>
        <a:xfrm>
          <a:off x="139700" y="4381500"/>
          <a:ext cx="1712328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RETIREMENT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100"/>
        </a:p>
      </xdr:txBody>
    </xdr:sp>
    <xdr:clientData/>
  </xdr:oneCellAnchor>
  <xdr:oneCellAnchor>
    <xdr:from>
      <xdr:col>3</xdr:col>
      <xdr:colOff>720725</xdr:colOff>
      <xdr:row>4</xdr:row>
      <xdr:rowOff>6350</xdr:rowOff>
    </xdr:from>
    <xdr:ext cx="1389611" cy="46807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3D71266-2C8B-2448-A984-1811098217AA}"/>
            </a:ext>
          </a:extLst>
        </xdr:cNvPr>
        <xdr:cNvSpPr txBox="1"/>
      </xdr:nvSpPr>
      <xdr:spPr>
        <a:xfrm>
          <a:off x="3149600" y="806450"/>
          <a:ext cx="1389611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Available</a:t>
          </a:r>
          <a:r>
            <a:rPr lang="en-GB" sz="1200" b="1" baseline="0">
              <a:solidFill>
                <a:schemeClr val="bg1"/>
              </a:solidFill>
            </a:rPr>
            <a:t> Funds at </a:t>
          </a:r>
        </a:p>
        <a:p>
          <a:r>
            <a:rPr lang="en-GB" sz="1200" b="1" baseline="0">
              <a:solidFill>
                <a:schemeClr val="bg1"/>
              </a:solidFill>
            </a:rPr>
            <a:t>Retirement </a:t>
          </a:r>
          <a:endParaRPr lang="en-GB" sz="12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485775</xdr:colOff>
      <xdr:row>4</xdr:row>
      <xdr:rowOff>57149</xdr:rowOff>
    </xdr:from>
    <xdr:ext cx="1142999" cy="372827"/>
    <xdr:sp macro="" textlink="$X$14">
      <xdr:nvSpPr>
        <xdr:cNvPr id="18" name="TextBox 17">
          <a:extLst>
            <a:ext uri="{FF2B5EF4-FFF2-40B4-BE49-F238E27FC236}">
              <a16:creationId xmlns:a16="http://schemas.microsoft.com/office/drawing/2014/main" id="{EB0FDB58-67BB-C643-A432-8346873B9E05}"/>
            </a:ext>
          </a:extLst>
        </xdr:cNvPr>
        <xdr:cNvSpPr txBox="1"/>
      </xdr:nvSpPr>
      <xdr:spPr>
        <a:xfrm>
          <a:off x="4533900" y="857249"/>
          <a:ext cx="1142999" cy="372827"/>
        </a:xfrm>
        <a:prstGeom prst="rect">
          <a:avLst/>
        </a:prstGeom>
        <a:ln w="28575">
          <a:solidFill>
            <a:srgbClr val="00206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330A494C-20AE-4CFC-B0DE-CB2FDBF27C6E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 $2,343,742 </a:t>
          </a:fld>
          <a:endParaRPr lang="en-US" sz="12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5</xdr:col>
      <xdr:colOff>309021</xdr:colOff>
      <xdr:row>28</xdr:row>
      <xdr:rowOff>101599</xdr:rowOff>
    </xdr:from>
    <xdr:to>
      <xdr:col>7</xdr:col>
      <xdr:colOff>482600</xdr:colOff>
      <xdr:row>38</xdr:row>
      <xdr:rowOff>100964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1EBACC-9FE0-694E-B6B9-7AF2BB71CB46}"/>
            </a:ext>
          </a:extLst>
        </xdr:cNvPr>
        <xdr:cNvSpPr/>
      </xdr:nvSpPr>
      <xdr:spPr>
        <a:xfrm>
          <a:off x="4881021" y="5918199"/>
          <a:ext cx="2103979" cy="203136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GB" sz="1500">
            <a:solidFill>
              <a:schemeClr val="lt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43</xdr:col>
      <xdr:colOff>622300</xdr:colOff>
      <xdr:row>15</xdr:row>
      <xdr:rowOff>0</xdr:rowOff>
    </xdr:from>
    <xdr:ext cx="534955" cy="280205"/>
    <xdr:sp macro="" textlink="$X$3">
      <xdr:nvSpPr>
        <xdr:cNvPr id="20" name="TextBox 19">
          <a:extLst>
            <a:ext uri="{FF2B5EF4-FFF2-40B4-BE49-F238E27FC236}">
              <a16:creationId xmlns:a16="http://schemas.microsoft.com/office/drawing/2014/main" id="{D92F8939-BDFC-324E-975A-ED95B9380B81}"/>
            </a:ext>
          </a:extLst>
        </xdr:cNvPr>
        <xdr:cNvSpPr txBox="1"/>
      </xdr:nvSpPr>
      <xdr:spPr>
        <a:xfrm>
          <a:off x="38057062" y="3054048"/>
          <a:ext cx="53495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1EC3BE0-0159-B74B-9C04-0D1D43EF5DBA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3,867</a:t>
          </a:fld>
          <a:endParaRPr lang="en-GB" sz="1100"/>
        </a:p>
      </xdr:txBody>
    </xdr:sp>
    <xdr:clientData/>
  </xdr:oneCellAnchor>
  <xdr:oneCellAnchor>
    <xdr:from>
      <xdr:col>5</xdr:col>
      <xdr:colOff>677134</xdr:colOff>
      <xdr:row>29</xdr:row>
      <xdr:rowOff>180355</xdr:rowOff>
    </xdr:from>
    <xdr:ext cx="1530509" cy="302841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B676D4CE-09F0-5443-888D-A2AB05B8C0BB}"/>
            </a:ext>
          </a:extLst>
        </xdr:cNvPr>
        <xdr:cNvSpPr txBox="1"/>
      </xdr:nvSpPr>
      <xdr:spPr>
        <a:xfrm>
          <a:off x="5249134" y="6200155"/>
          <a:ext cx="1530509" cy="30284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b">
          <a:noAutofit/>
        </a:bodyPr>
        <a:lstStyle/>
        <a:p>
          <a:r>
            <a:rPr lang="en-GB" sz="1400" b="1"/>
            <a:t>Set Savings Rate</a:t>
          </a:r>
          <a:endParaRPr lang="en-GB" sz="1400" b="1" baseline="0"/>
        </a:p>
      </xdr:txBody>
    </xdr:sp>
    <xdr:clientData/>
  </xdr:oneCellAnchor>
  <xdr:oneCellAnchor>
    <xdr:from>
      <xdr:col>5</xdr:col>
      <xdr:colOff>867634</xdr:colOff>
      <xdr:row>32</xdr:row>
      <xdr:rowOff>77575</xdr:rowOff>
    </xdr:from>
    <xdr:ext cx="866102" cy="280205"/>
    <xdr:sp macro="" textlink="$X$6">
      <xdr:nvSpPr>
        <xdr:cNvPr id="23" name="TextBox 22">
          <a:extLst>
            <a:ext uri="{FF2B5EF4-FFF2-40B4-BE49-F238E27FC236}">
              <a16:creationId xmlns:a16="http://schemas.microsoft.com/office/drawing/2014/main" id="{512C454B-4A06-6F47-BBE1-1AEEF55C97DF}"/>
            </a:ext>
          </a:extLst>
        </xdr:cNvPr>
        <xdr:cNvSpPr txBox="1"/>
      </xdr:nvSpPr>
      <xdr:spPr>
        <a:xfrm>
          <a:off x="5439634" y="6706975"/>
          <a:ext cx="866102" cy="280205"/>
        </a:xfrm>
        <a:prstGeom prst="rect">
          <a:avLst/>
        </a:prstGeom>
        <a:ln w="28575">
          <a:solidFill>
            <a:srgbClr val="00206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CBE065E-9F5F-DA44-8D0D-635FD773B1F1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8.00</a:t>
          </a:fld>
          <a:endParaRPr lang="en-GB" sz="1100" b="1"/>
        </a:p>
      </xdr:txBody>
    </xdr:sp>
    <xdr:clientData/>
  </xdr:oneCellAnchor>
  <xdr:oneCellAnchor>
    <xdr:from>
      <xdr:col>6</xdr:col>
      <xdr:colOff>831028</xdr:colOff>
      <xdr:row>32</xdr:row>
      <xdr:rowOff>45886</xdr:rowOff>
    </xdr:from>
    <xdr:ext cx="403390" cy="3028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796D163-78F3-FF45-8F84-E2A0321BCDB9}"/>
            </a:ext>
          </a:extLst>
        </xdr:cNvPr>
        <xdr:cNvSpPr txBox="1"/>
      </xdr:nvSpPr>
      <xdr:spPr>
        <a:xfrm>
          <a:off x="6393628" y="6675286"/>
          <a:ext cx="403390" cy="30284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b">
          <a:noAutofit/>
        </a:bodyPr>
        <a:lstStyle/>
        <a:p>
          <a:r>
            <a:rPr lang="en-GB" sz="1400" b="1"/>
            <a:t>%</a:t>
          </a:r>
          <a:endParaRPr lang="en-GB" sz="1400" b="1" baseline="0"/>
        </a:p>
      </xdr:txBody>
    </xdr:sp>
    <xdr:clientData/>
  </xdr:oneCellAnchor>
  <xdr:twoCellAnchor>
    <xdr:from>
      <xdr:col>16</xdr:col>
      <xdr:colOff>697903</xdr:colOff>
      <xdr:row>5</xdr:row>
      <xdr:rowOff>77246</xdr:rowOff>
    </xdr:from>
    <xdr:to>
      <xdr:col>20</xdr:col>
      <xdr:colOff>12700</xdr:colOff>
      <xdr:row>15</xdr:row>
      <xdr:rowOff>168686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E7528C84-6DDC-4240-AA47-FFDD32F6DBF1}"/>
            </a:ext>
          </a:extLst>
        </xdr:cNvPr>
        <xdr:cNvSpPr/>
      </xdr:nvSpPr>
      <xdr:spPr>
        <a:xfrm>
          <a:off x="15468003" y="1093246"/>
          <a:ext cx="2565997" cy="221234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GB" sz="1500">
            <a:solidFill>
              <a:schemeClr val="lt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17</xdr:col>
      <xdr:colOff>242197</xdr:colOff>
      <xdr:row>6</xdr:row>
      <xdr:rowOff>112806</xdr:rowOff>
    </xdr:from>
    <xdr:ext cx="1905000" cy="58420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AE408AC3-8323-404B-9BCF-76C8E649A8AD}"/>
            </a:ext>
          </a:extLst>
        </xdr:cNvPr>
        <xdr:cNvSpPr txBox="1"/>
      </xdr:nvSpPr>
      <xdr:spPr>
        <a:xfrm>
          <a:off x="15825097" y="1332006"/>
          <a:ext cx="1905000" cy="5842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b">
          <a:noAutofit/>
        </a:bodyPr>
        <a:lstStyle/>
        <a:p>
          <a:pPr algn="l"/>
          <a:r>
            <a:rPr lang="en-GB" sz="1400" b="1"/>
            <a:t>Set Income</a:t>
          </a:r>
          <a:r>
            <a:rPr lang="en-GB" sz="1400" b="1" baseline="0"/>
            <a:t> Spending </a:t>
          </a:r>
        </a:p>
        <a:p>
          <a:pPr algn="l"/>
          <a:r>
            <a:rPr lang="en-GB" sz="1400" b="1" baseline="0"/>
            <a:t>Rate (Post Retirement)</a:t>
          </a:r>
          <a:endParaRPr lang="en-GB" sz="1400" b="1"/>
        </a:p>
      </xdr:txBody>
    </xdr:sp>
    <xdr:clientData/>
  </xdr:oneCellAnchor>
  <xdr:oneCellAnchor>
    <xdr:from>
      <xdr:col>17</xdr:col>
      <xdr:colOff>419997</xdr:colOff>
      <xdr:row>9</xdr:row>
      <xdr:rowOff>176306</xdr:rowOff>
    </xdr:from>
    <xdr:ext cx="1066800" cy="280205"/>
    <xdr:sp macro="" textlink="$X$7">
      <xdr:nvSpPr>
        <xdr:cNvPr id="29" name="TextBox 28">
          <a:extLst>
            <a:ext uri="{FF2B5EF4-FFF2-40B4-BE49-F238E27FC236}">
              <a16:creationId xmlns:a16="http://schemas.microsoft.com/office/drawing/2014/main" id="{E8FD46FA-13F2-1747-973B-41BD30FF93DE}"/>
            </a:ext>
          </a:extLst>
        </xdr:cNvPr>
        <xdr:cNvSpPr txBox="1"/>
      </xdr:nvSpPr>
      <xdr:spPr>
        <a:xfrm>
          <a:off x="16002897" y="2005106"/>
          <a:ext cx="1066800" cy="280205"/>
        </a:xfrm>
        <a:prstGeom prst="rect">
          <a:avLst/>
        </a:prstGeom>
        <a:ln w="28575">
          <a:solidFill>
            <a:srgbClr val="00206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0ACFE19-D7C5-1B4B-9B46-F48B2C24E739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70.00</a:t>
          </a:fld>
          <a:endParaRPr lang="en-GB" sz="1100" b="1"/>
        </a:p>
      </xdr:txBody>
    </xdr:sp>
    <xdr:clientData/>
  </xdr:oneCellAnchor>
  <xdr:oneCellAnchor>
    <xdr:from>
      <xdr:col>18</xdr:col>
      <xdr:colOff>784263</xdr:colOff>
      <xdr:row>9</xdr:row>
      <xdr:rowOff>150906</xdr:rowOff>
    </xdr:from>
    <xdr:ext cx="431800" cy="3302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B2FBBBCD-A277-7B4A-96F0-76BBE06FFA05}"/>
            </a:ext>
          </a:extLst>
        </xdr:cNvPr>
        <xdr:cNvSpPr txBox="1"/>
      </xdr:nvSpPr>
      <xdr:spPr>
        <a:xfrm>
          <a:off x="17179963" y="1979706"/>
          <a:ext cx="431800" cy="3302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b">
          <a:noAutofit/>
        </a:bodyPr>
        <a:lstStyle/>
        <a:p>
          <a:r>
            <a:rPr lang="en-GB" sz="1400" b="1"/>
            <a:t>%</a:t>
          </a:r>
          <a:endParaRPr lang="en-GB" sz="1400" b="1" baseline="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241300</xdr:colOff>
          <xdr:row>12</xdr:row>
          <xdr:rowOff>63500</xdr:rowOff>
        </xdr:from>
        <xdr:to>
          <xdr:col>19</xdr:col>
          <xdr:colOff>533400</xdr:colOff>
          <xdr:row>13</xdr:row>
          <xdr:rowOff>241300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469900</xdr:colOff>
          <xdr:row>34</xdr:row>
          <xdr:rowOff>127000</xdr:rowOff>
        </xdr:from>
        <xdr:to>
          <xdr:col>7</xdr:col>
          <xdr:colOff>368300</xdr:colOff>
          <xdr:row>36</xdr:row>
          <xdr:rowOff>101600</xdr:rowOff>
        </xdr:to>
        <xdr:sp macro="" textlink="">
          <xdr:nvSpPr>
            <xdr:cNvPr id="2072" name="Scroll Bar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406400</xdr:colOff>
          <xdr:row>6</xdr:row>
          <xdr:rowOff>0</xdr:rowOff>
        </xdr:from>
        <xdr:to>
          <xdr:col>8</xdr:col>
          <xdr:colOff>660400</xdr:colOff>
          <xdr:row>7</xdr:row>
          <xdr:rowOff>165100</xdr:rowOff>
        </xdr:to>
        <xdr:sp macro="" textlink="">
          <xdr:nvSpPr>
            <xdr:cNvPr id="2073" name="Option 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 CPP as 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406400</xdr:colOff>
          <xdr:row>7</xdr:row>
          <xdr:rowOff>63500</xdr:rowOff>
        </xdr:from>
        <xdr:to>
          <xdr:col>8</xdr:col>
          <xdr:colOff>660400</xdr:colOff>
          <xdr:row>9</xdr:row>
          <xdr:rowOff>38100</xdr:rowOff>
        </xdr:to>
        <xdr:sp macro="" textlink="">
          <xdr:nvSpPr>
            <xdr:cNvPr id="2074" name="Option 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Apply CPP </a:t>
              </a:r>
            </a:p>
          </xdr:txBody>
        </xdr:sp>
        <xdr:clientData/>
      </xdr:twoCellAnchor>
    </mc:Choice>
    <mc:Fallback/>
  </mc:AlternateContent>
  <xdr:oneCellAnchor>
    <xdr:from>
      <xdr:col>7</xdr:col>
      <xdr:colOff>1066054</xdr:colOff>
      <xdr:row>15</xdr:row>
      <xdr:rowOff>140448</xdr:rowOff>
    </xdr:from>
    <xdr:ext cx="2771913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6BF15DEE-535E-D145-E6AE-0C6546C4DC8C}"/>
            </a:ext>
          </a:extLst>
        </xdr:cNvPr>
        <xdr:cNvSpPr txBox="1"/>
      </xdr:nvSpPr>
      <xdr:spPr>
        <a:xfrm>
          <a:off x="7568454" y="3277348"/>
          <a:ext cx="27719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DONT WORRY, THIS</a:t>
          </a:r>
          <a:r>
            <a:rPr lang="en-US" sz="1100" b="1" baseline="0">
              <a:solidFill>
                <a:srgbClr val="FF0000"/>
              </a:solidFill>
            </a:rPr>
            <a:t> MIGHT TAKE A WHILE :)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2</xdr:col>
      <xdr:colOff>344805</xdr:colOff>
      <xdr:row>28</xdr:row>
      <xdr:rowOff>114300</xdr:rowOff>
    </xdr:from>
    <xdr:to>
      <xdr:col>5</xdr:col>
      <xdr:colOff>159198</xdr:colOff>
      <xdr:row>36</xdr:row>
      <xdr:rowOff>193675</xdr:rowOff>
    </xdr:to>
    <xdr:sp macro="" textlink="">
      <xdr:nvSpPr>
        <xdr:cNvPr id="15" name="Rounded Rectangle 18">
          <a:extLst>
            <a:ext uri="{FF2B5EF4-FFF2-40B4-BE49-F238E27FC236}">
              <a16:creationId xmlns:a16="http://schemas.microsoft.com/office/drawing/2014/main" id="{85BB4ADD-8E01-4FFB-B0F8-7D5CC65D614D}"/>
            </a:ext>
          </a:extLst>
        </xdr:cNvPr>
        <xdr:cNvSpPr/>
      </xdr:nvSpPr>
      <xdr:spPr>
        <a:xfrm>
          <a:off x="2478405" y="5930900"/>
          <a:ext cx="2252793" cy="17049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GB" sz="1500">
            <a:solidFill>
              <a:schemeClr val="lt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</xdr:col>
      <xdr:colOff>731968</xdr:colOff>
      <xdr:row>29</xdr:row>
      <xdr:rowOff>103467</xdr:rowOff>
    </xdr:from>
    <xdr:ext cx="1638300" cy="3302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9E1114AE-7688-496B-AAEB-2D54985DE543}"/>
            </a:ext>
          </a:extLst>
        </xdr:cNvPr>
        <xdr:cNvSpPr txBox="1"/>
      </xdr:nvSpPr>
      <xdr:spPr>
        <a:xfrm>
          <a:off x="2865568" y="6123267"/>
          <a:ext cx="1638300" cy="3302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b">
          <a:noAutofit/>
        </a:bodyPr>
        <a:lstStyle/>
        <a:p>
          <a:r>
            <a:rPr lang="en-GB" sz="1400" b="1"/>
            <a:t>Set Inflation Rate</a:t>
          </a:r>
          <a:endParaRPr lang="en-GB" sz="1400" b="1" baseline="0"/>
        </a:p>
      </xdr:txBody>
    </xdr:sp>
    <xdr:clientData/>
  </xdr:oneCellAnchor>
  <xdr:oneCellAnchor>
    <xdr:from>
      <xdr:col>3</xdr:col>
      <xdr:colOff>65218</xdr:colOff>
      <xdr:row>31</xdr:row>
      <xdr:rowOff>191696</xdr:rowOff>
    </xdr:from>
    <xdr:ext cx="927100" cy="280205"/>
    <xdr:sp macro="" textlink="$X$13">
      <xdr:nvSpPr>
        <xdr:cNvPr id="24" name="TextBox 23">
          <a:extLst>
            <a:ext uri="{FF2B5EF4-FFF2-40B4-BE49-F238E27FC236}">
              <a16:creationId xmlns:a16="http://schemas.microsoft.com/office/drawing/2014/main" id="{82D5FD39-448D-45D6-878D-797B93E36782}"/>
            </a:ext>
          </a:extLst>
        </xdr:cNvPr>
        <xdr:cNvSpPr txBox="1"/>
      </xdr:nvSpPr>
      <xdr:spPr>
        <a:xfrm>
          <a:off x="3011618" y="6617896"/>
          <a:ext cx="927100" cy="280205"/>
        </a:xfrm>
        <a:prstGeom prst="rect">
          <a:avLst/>
        </a:prstGeom>
        <a:ln w="28575">
          <a:solidFill>
            <a:srgbClr val="00206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3575F29D-E8C0-43BC-832E-E6A99A75754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</a:t>
          </a:fld>
          <a:endParaRPr lang="en-GB" sz="1100" b="1"/>
        </a:p>
      </xdr:txBody>
    </xdr:sp>
    <xdr:clientData/>
  </xdr:oneCellAnchor>
  <xdr:oneCellAnchor>
    <xdr:from>
      <xdr:col>4</xdr:col>
      <xdr:colOff>195617</xdr:colOff>
      <xdr:row>31</xdr:row>
      <xdr:rowOff>156958</xdr:rowOff>
    </xdr:from>
    <xdr:ext cx="431800" cy="33020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000F1ED-44E7-4933-8AE6-547D614C57E8}"/>
            </a:ext>
          </a:extLst>
        </xdr:cNvPr>
        <xdr:cNvSpPr txBox="1"/>
      </xdr:nvSpPr>
      <xdr:spPr>
        <a:xfrm>
          <a:off x="3954817" y="6583158"/>
          <a:ext cx="431800" cy="3302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b">
          <a:noAutofit/>
        </a:bodyPr>
        <a:lstStyle/>
        <a:p>
          <a:r>
            <a:rPr lang="en-GB" sz="1400" b="1"/>
            <a:t>%</a:t>
          </a:r>
          <a:endParaRPr lang="en-GB" sz="1400" b="1" baseline="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33</xdr:row>
          <xdr:rowOff>152400</xdr:rowOff>
        </xdr:from>
        <xdr:to>
          <xdr:col>4</xdr:col>
          <xdr:colOff>762000</xdr:colOff>
          <xdr:row>35</xdr:row>
          <xdr:rowOff>127000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</xdr:col>
      <xdr:colOff>698500</xdr:colOff>
      <xdr:row>9</xdr:row>
      <xdr:rowOff>92075</xdr:rowOff>
    </xdr:from>
    <xdr:ext cx="971484" cy="28020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178FDB0-A527-458D-A8D4-AFB33BD7B1AF}"/>
            </a:ext>
          </a:extLst>
        </xdr:cNvPr>
        <xdr:cNvSpPr txBox="1"/>
      </xdr:nvSpPr>
      <xdr:spPr>
        <a:xfrm>
          <a:off x="3127375" y="1892300"/>
          <a:ext cx="97148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Ending Fund</a:t>
          </a:r>
        </a:p>
      </xdr:txBody>
    </xdr:sp>
    <xdr:clientData/>
  </xdr:oneCellAnchor>
  <xdr:oneCellAnchor>
    <xdr:from>
      <xdr:col>5</xdr:col>
      <xdr:colOff>495298</xdr:colOff>
      <xdr:row>9</xdr:row>
      <xdr:rowOff>44450</xdr:rowOff>
    </xdr:from>
    <xdr:ext cx="1123951" cy="280205"/>
    <xdr:sp macro="" textlink="$X$15">
      <xdr:nvSpPr>
        <xdr:cNvPr id="32" name="TextBox 31">
          <a:extLst>
            <a:ext uri="{FF2B5EF4-FFF2-40B4-BE49-F238E27FC236}">
              <a16:creationId xmlns:a16="http://schemas.microsoft.com/office/drawing/2014/main" id="{382D1220-62C1-41F6-A885-D54D406FE22A}"/>
            </a:ext>
          </a:extLst>
        </xdr:cNvPr>
        <xdr:cNvSpPr txBox="1"/>
      </xdr:nvSpPr>
      <xdr:spPr>
        <a:xfrm>
          <a:off x="4543423" y="1844675"/>
          <a:ext cx="1123951" cy="280205"/>
        </a:xfrm>
        <a:prstGeom prst="rect">
          <a:avLst/>
        </a:prstGeom>
        <a:ln w="28575">
          <a:solidFill>
            <a:srgbClr val="00206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25EEEAC-7D7A-4840-B1DB-608298E5D25D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-$115,317</a:t>
          </a:fld>
          <a:endParaRPr lang="en-US" sz="12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13</xdr:col>
      <xdr:colOff>723901</xdr:colOff>
      <xdr:row>16</xdr:row>
      <xdr:rowOff>215900</xdr:rowOff>
    </xdr:from>
    <xdr:to>
      <xdr:col>20</xdr:col>
      <xdr:colOff>88901</xdr:colOff>
      <xdr:row>40</xdr:row>
      <xdr:rowOff>0</xdr:rowOff>
    </xdr:to>
    <xdr:graphicFrame macro="">
      <xdr:nvGraphicFramePr>
        <xdr:cNvPr id="2048" name="Chart 2047">
          <a:extLst>
            <a:ext uri="{FF2B5EF4-FFF2-40B4-BE49-F238E27FC236}">
              <a16:creationId xmlns:a16="http://schemas.microsoft.com/office/drawing/2014/main" id="{EC76036A-7306-46B8-9C8A-EEA5BF47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187778</xdr:colOff>
      <xdr:row>12</xdr:row>
      <xdr:rowOff>173264</xdr:rowOff>
    </xdr:from>
    <xdr:to>
      <xdr:col>7</xdr:col>
      <xdr:colOff>863599</xdr:colOff>
      <xdr:row>27</xdr:row>
      <xdr:rowOff>152400</xdr:rowOff>
    </xdr:to>
    <xdr:graphicFrame macro="">
      <xdr:nvGraphicFramePr>
        <xdr:cNvPr id="2049" name="Chart 2048">
          <a:extLst>
            <a:ext uri="{FF2B5EF4-FFF2-40B4-BE49-F238E27FC236}">
              <a16:creationId xmlns:a16="http://schemas.microsoft.com/office/drawing/2014/main" id="{E7A97251-DB85-4DAF-B5E1-69FB23EFF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763587</xdr:colOff>
      <xdr:row>1</xdr:row>
      <xdr:rowOff>114300</xdr:rowOff>
    </xdr:from>
    <xdr:to>
      <xdr:col>16</xdr:col>
      <xdr:colOff>165100</xdr:colOff>
      <xdr:row>15</xdr:row>
      <xdr:rowOff>79375</xdr:rowOff>
    </xdr:to>
    <xdr:graphicFrame macro="">
      <xdr:nvGraphicFramePr>
        <xdr:cNvPr id="2050" name="Chart 2049">
          <a:extLst>
            <a:ext uri="{FF2B5EF4-FFF2-40B4-BE49-F238E27FC236}">
              <a16:creationId xmlns:a16="http://schemas.microsoft.com/office/drawing/2014/main" id="{180C5917-A519-41E6-8E7E-4A4166A7C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7</xdr:col>
      <xdr:colOff>238126</xdr:colOff>
      <xdr:row>9</xdr:row>
      <xdr:rowOff>15875</xdr:rowOff>
    </xdr:from>
    <xdr:ext cx="1590674" cy="436786"/>
    <xdr:sp macro="" textlink="">
      <xdr:nvSpPr>
        <xdr:cNvPr id="2051" name="TextBox 2050">
          <a:extLst>
            <a:ext uri="{FF2B5EF4-FFF2-40B4-BE49-F238E27FC236}">
              <a16:creationId xmlns:a16="http://schemas.microsoft.com/office/drawing/2014/main" id="{A7B2C641-B3E1-4ABC-AF5A-79A41929D9AB}"/>
            </a:ext>
          </a:extLst>
        </xdr:cNvPr>
        <xdr:cNvSpPr txBox="1"/>
      </xdr:nvSpPr>
      <xdr:spPr>
        <a:xfrm>
          <a:off x="6740526" y="1844675"/>
          <a:ext cx="159067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050" b="1">
              <a:solidFill>
                <a:srgbClr val="FF0000"/>
              </a:solidFill>
            </a:rPr>
            <a:t>Applicable</a:t>
          </a:r>
          <a:r>
            <a:rPr lang="en-US" sz="1050" b="1" baseline="0">
              <a:solidFill>
                <a:srgbClr val="FF0000"/>
              </a:solidFill>
            </a:rPr>
            <a:t> only after </a:t>
          </a:r>
        </a:p>
        <a:p>
          <a:pPr algn="ctr"/>
          <a:r>
            <a:rPr lang="en-US" sz="1050" b="1" baseline="0">
              <a:solidFill>
                <a:srgbClr val="FF0000"/>
              </a:solidFill>
            </a:rPr>
            <a:t>60 years of age</a:t>
          </a:r>
          <a:endParaRPr lang="en-US" sz="105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0</xdr:col>
      <xdr:colOff>88900</xdr:colOff>
      <xdr:row>22</xdr:row>
      <xdr:rowOff>177800</xdr:rowOff>
    </xdr:from>
    <xdr:to>
      <xdr:col>1</xdr:col>
      <xdr:colOff>1193800</xdr:colOff>
      <xdr:row>30</xdr:row>
      <xdr:rowOff>127000</xdr:rowOff>
    </xdr:to>
    <xdr:pic>
      <xdr:nvPicPr>
        <xdr:cNvPr id="33" name="Graphic 32" descr="Disk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CF4891-DA17-4D48-E7BB-24CC38EF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8900" y="4775200"/>
          <a:ext cx="1917700" cy="1574800"/>
        </a:xfrm>
        <a:prstGeom prst="rect">
          <a:avLst/>
        </a:prstGeom>
      </xdr:spPr>
    </xdr:pic>
    <xdr:clientData/>
  </xdr:twoCellAnchor>
  <xdr:oneCellAnchor>
    <xdr:from>
      <xdr:col>0</xdr:col>
      <xdr:colOff>342900</xdr:colOff>
      <xdr:row>29</xdr:row>
      <xdr:rowOff>88900</xdr:rowOff>
    </xdr:from>
    <xdr:ext cx="1353576" cy="327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1AB33A0-734A-6D42-AE65-8DB86CD47F87}"/>
            </a:ext>
          </a:extLst>
        </xdr:cNvPr>
        <xdr:cNvSpPr txBox="1"/>
      </xdr:nvSpPr>
      <xdr:spPr>
        <a:xfrm>
          <a:off x="342900" y="6108700"/>
          <a:ext cx="1353576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GOLDEN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5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oneCell">
    <xdr:from>
      <xdr:col>0</xdr:col>
      <xdr:colOff>228600</xdr:colOff>
      <xdr:row>30</xdr:row>
      <xdr:rowOff>177800</xdr:rowOff>
    </xdr:from>
    <xdr:to>
      <xdr:col>1</xdr:col>
      <xdr:colOff>1028700</xdr:colOff>
      <xdr:row>39</xdr:row>
      <xdr:rowOff>246</xdr:rowOff>
    </xdr:to>
    <xdr:pic>
      <xdr:nvPicPr>
        <xdr:cNvPr id="36" name="Graphic 35" descr="Users outline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E8A41EA-D141-823B-18FF-195648759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28600" y="6400800"/>
          <a:ext cx="1612900" cy="1651000"/>
        </a:xfrm>
        <a:prstGeom prst="rect">
          <a:avLst/>
        </a:prstGeom>
      </xdr:spPr>
    </xdr:pic>
    <xdr:clientData/>
  </xdr:twoCellAnchor>
  <xdr:oneCellAnchor>
    <xdr:from>
      <xdr:col>0</xdr:col>
      <xdr:colOff>342900</xdr:colOff>
      <xdr:row>36</xdr:row>
      <xdr:rowOff>152400</xdr:rowOff>
    </xdr:from>
    <xdr:ext cx="1456040" cy="327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6B970DC5-7CAE-4249-B0E3-BA6CC2C1FEA5}"/>
            </a:ext>
          </a:extLst>
        </xdr:cNvPr>
        <xdr:cNvSpPr txBox="1"/>
      </xdr:nvSpPr>
      <xdr:spPr>
        <a:xfrm>
          <a:off x="342900" y="7594600"/>
          <a:ext cx="145604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CONTRIBUTORS</a:t>
          </a:r>
        </a:p>
      </xdr:txBody>
    </xdr:sp>
    <xdr:clientData/>
  </xdr:oneCellAnchor>
  <xdr:twoCellAnchor>
    <xdr:from>
      <xdr:col>7</xdr:col>
      <xdr:colOff>914400</xdr:colOff>
      <xdr:row>17</xdr:row>
      <xdr:rowOff>0</xdr:rowOff>
    </xdr:from>
    <xdr:to>
      <xdr:col>13</xdr:col>
      <xdr:colOff>543131</xdr:colOff>
      <xdr:row>39</xdr:row>
      <xdr:rowOff>177800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7B7D8DD2-441F-B846-8CCE-16CAF77284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434760</xdr:colOff>
      <xdr:row>13</xdr:row>
      <xdr:rowOff>11800</xdr:rowOff>
    </xdr:from>
    <xdr:to>
      <xdr:col>15</xdr:col>
      <xdr:colOff>435120</xdr:colOff>
      <xdr:row>13</xdr:row>
      <xdr:rowOff>12160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14:cNvPr>
            <xdr14:cNvContentPartPr/>
          </xdr14:nvContentPartPr>
          <xdr14:nvPr macro=""/>
          <xdr14:xfrm>
            <a:off x="15857640" y="267372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8DC37DD2-140F-4396-9FF8-A322E7BAC00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851520" y="266760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159440</xdr:colOff>
      <xdr:row>13</xdr:row>
      <xdr:rowOff>133480</xdr:rowOff>
    </xdr:from>
    <xdr:to>
      <xdr:col>18</xdr:col>
      <xdr:colOff>159800</xdr:colOff>
      <xdr:row>13</xdr:row>
      <xdr:rowOff>133840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14:cNvPr>
            <xdr14:cNvContentPartPr/>
          </xdr14:nvContentPartPr>
          <xdr14:nvPr macro=""/>
          <xdr14:xfrm>
            <a:off x="16395120" y="2795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64194796-70AA-7E44-5394-4EC05637641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389000" y="27892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81</xdr:row>
      <xdr:rowOff>81643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1B217CE-458B-E64A-9886-261200F18103}"/>
            </a:ext>
          </a:extLst>
        </xdr:cNvPr>
        <xdr:cNvSpPr/>
      </xdr:nvSpPr>
      <xdr:spPr>
        <a:xfrm>
          <a:off x="0" y="0"/>
          <a:ext cx="2068286" cy="16641536"/>
        </a:xfrm>
        <a:prstGeom prst="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127000</xdr:colOff>
      <xdr:row>1</xdr:row>
      <xdr:rowOff>88900</xdr:rowOff>
    </xdr:from>
    <xdr:to>
      <xdr:col>0</xdr:col>
      <xdr:colOff>1625600</xdr:colOff>
      <xdr:row>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8899AD7C-00D4-DC41-876F-587153CB3BF1}"/>
            </a:ext>
          </a:extLst>
        </xdr:cNvPr>
        <xdr:cNvSpPr/>
      </xdr:nvSpPr>
      <xdr:spPr>
        <a:xfrm>
          <a:off x="127000" y="304800"/>
          <a:ext cx="1498600" cy="1320800"/>
        </a:xfrm>
        <a:prstGeom prst="roundRect">
          <a:avLst>
            <a:gd name="adj" fmla="val 32353"/>
          </a:avLst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/>
            <a:t>BOB'S</a:t>
          </a:r>
          <a:r>
            <a:rPr lang="en-GB" sz="1500" baseline="0"/>
            <a:t> RETIREMENT MODEL</a:t>
          </a:r>
          <a:endParaRPr lang="en-GB" sz="1500"/>
        </a:p>
      </xdr:txBody>
    </xdr:sp>
    <xdr:clientData/>
  </xdr:twoCellAnchor>
  <xdr:twoCellAnchor editAs="oneCell">
    <xdr:from>
      <xdr:col>0</xdr:col>
      <xdr:colOff>139700</xdr:colOff>
      <xdr:row>9</xdr:row>
      <xdr:rowOff>74466</xdr:rowOff>
    </xdr:from>
    <xdr:to>
      <xdr:col>0</xdr:col>
      <xdr:colOff>1664138</xdr:colOff>
      <xdr:row>16</xdr:row>
      <xdr:rowOff>38100</xdr:rowOff>
    </xdr:to>
    <xdr:pic>
      <xdr:nvPicPr>
        <xdr:cNvPr id="12" name="Graphic 11" descr="Bar chart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EAF379-F541-7A4B-B729-652D0FBB0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9700" y="1902828"/>
          <a:ext cx="1524438" cy="1354065"/>
        </a:xfrm>
        <a:prstGeom prst="rect">
          <a:avLst/>
        </a:prstGeom>
      </xdr:spPr>
    </xdr:pic>
    <xdr:clientData/>
  </xdr:twoCellAnchor>
  <xdr:twoCellAnchor editAs="oneCell">
    <xdr:from>
      <xdr:col>0</xdr:col>
      <xdr:colOff>200800</xdr:colOff>
      <xdr:row>17</xdr:row>
      <xdr:rowOff>162700</xdr:rowOff>
    </xdr:from>
    <xdr:to>
      <xdr:col>0</xdr:col>
      <xdr:colOff>1508900</xdr:colOff>
      <xdr:row>24</xdr:row>
      <xdr:rowOff>48400</xdr:rowOff>
    </xdr:to>
    <xdr:pic>
      <xdr:nvPicPr>
        <xdr:cNvPr id="13" name="Graphic 12" descr="Tabl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76DEA5E-675B-E54B-B6F5-4A25A6C0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00800" y="3667900"/>
          <a:ext cx="1308100" cy="1308100"/>
        </a:xfrm>
        <a:prstGeom prst="rect">
          <a:avLst/>
        </a:prstGeom>
      </xdr:spPr>
    </xdr:pic>
    <xdr:clientData/>
  </xdr:twoCellAnchor>
  <xdr:oneCellAnchor>
    <xdr:from>
      <xdr:col>0</xdr:col>
      <xdr:colOff>254000</xdr:colOff>
      <xdr:row>15</xdr:row>
      <xdr:rowOff>114300</xdr:rowOff>
    </xdr:from>
    <xdr:ext cx="1218860" cy="327141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56C1011-5531-E048-A173-3BC705C01797}"/>
            </a:ext>
          </a:extLst>
        </xdr:cNvPr>
        <xdr:cNvSpPr txBox="1"/>
      </xdr:nvSpPr>
      <xdr:spPr>
        <a:xfrm>
          <a:off x="254000" y="3187700"/>
          <a:ext cx="121886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oneCellAnchor>
  <xdr:oneCellAnchor>
    <xdr:from>
      <xdr:col>0</xdr:col>
      <xdr:colOff>0</xdr:colOff>
      <xdr:row>23</xdr:row>
      <xdr:rowOff>25400</xdr:rowOff>
    </xdr:from>
    <xdr:ext cx="1712328" cy="327141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12E35AA-FDBE-944A-9940-5FDB83255189}"/>
            </a:ext>
          </a:extLst>
        </xdr:cNvPr>
        <xdr:cNvSpPr txBox="1"/>
      </xdr:nvSpPr>
      <xdr:spPr>
        <a:xfrm>
          <a:off x="0" y="4634624"/>
          <a:ext cx="1712328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RETIREMENT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100"/>
        </a:p>
      </xdr:txBody>
    </xdr:sp>
    <xdr:clientData/>
  </xdr:oneCellAnchor>
  <xdr:twoCellAnchor editAs="oneCell">
    <xdr:from>
      <xdr:col>0</xdr:col>
      <xdr:colOff>131233</xdr:colOff>
      <xdr:row>25</xdr:row>
      <xdr:rowOff>97367</xdr:rowOff>
    </xdr:from>
    <xdr:to>
      <xdr:col>0</xdr:col>
      <xdr:colOff>1579033</xdr:colOff>
      <xdr:row>32</xdr:row>
      <xdr:rowOff>122767</xdr:rowOff>
    </xdr:to>
    <xdr:pic>
      <xdr:nvPicPr>
        <xdr:cNvPr id="4" name="Graphic 3" descr="Disk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1BDCE83-5E3C-AD49-BDD6-844351B1E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1233" y="5253567"/>
          <a:ext cx="1447800" cy="14478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33</xdr:row>
      <xdr:rowOff>50800</xdr:rowOff>
    </xdr:from>
    <xdr:to>
      <xdr:col>0</xdr:col>
      <xdr:colOff>1473200</xdr:colOff>
      <xdr:row>39</xdr:row>
      <xdr:rowOff>114300</xdr:rowOff>
    </xdr:to>
    <xdr:pic>
      <xdr:nvPicPr>
        <xdr:cNvPr id="6" name="Graphic 5" descr="Users outline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9CF9C2C-DD27-BD49-8835-7E2F3AB16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90500" y="6832600"/>
          <a:ext cx="1282700" cy="1282700"/>
        </a:xfrm>
        <a:prstGeom prst="rect">
          <a:avLst/>
        </a:prstGeom>
      </xdr:spPr>
    </xdr:pic>
    <xdr:clientData/>
  </xdr:twoCellAnchor>
  <xdr:oneCellAnchor>
    <xdr:from>
      <xdr:col>0</xdr:col>
      <xdr:colOff>190500</xdr:colOff>
      <xdr:row>31</xdr:row>
      <xdr:rowOff>114300</xdr:rowOff>
    </xdr:from>
    <xdr:ext cx="1353576" cy="32714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F2E0901-695F-7A4A-A830-A78E619DC946}"/>
            </a:ext>
          </a:extLst>
        </xdr:cNvPr>
        <xdr:cNvSpPr txBox="1"/>
      </xdr:nvSpPr>
      <xdr:spPr>
        <a:xfrm>
          <a:off x="190500" y="6489700"/>
          <a:ext cx="1353576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GOLDEN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5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127000</xdr:colOff>
      <xdr:row>38</xdr:row>
      <xdr:rowOff>38100</xdr:rowOff>
    </xdr:from>
    <xdr:ext cx="1456040" cy="32714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215BE5F-45F1-6C4B-8188-950F617C1CCE}"/>
            </a:ext>
          </a:extLst>
        </xdr:cNvPr>
        <xdr:cNvSpPr txBox="1"/>
      </xdr:nvSpPr>
      <xdr:spPr>
        <a:xfrm>
          <a:off x="127000" y="7835900"/>
          <a:ext cx="145604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CONTRIBUTORS</a:t>
          </a:r>
        </a:p>
      </xdr:txBody>
    </xdr:sp>
    <xdr:clientData/>
  </xdr:oneCellAnchor>
  <xdr:oneCellAnchor>
    <xdr:from>
      <xdr:col>5</xdr:col>
      <xdr:colOff>254000</xdr:colOff>
      <xdr:row>7</xdr:row>
      <xdr:rowOff>50800</xdr:rowOff>
    </xdr:from>
    <xdr:ext cx="7493000" cy="952825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AF9EB24-FCDA-8312-3903-9AFD091F17AA}"/>
            </a:ext>
          </a:extLst>
        </xdr:cNvPr>
        <xdr:cNvSpPr txBox="1"/>
      </xdr:nvSpPr>
      <xdr:spPr>
        <a:xfrm>
          <a:off x="5865880" y="1537894"/>
          <a:ext cx="7493000" cy="9528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 b="1" u="sng"/>
            <a:t>Assumptions</a:t>
          </a:r>
        </a:p>
        <a:p>
          <a:r>
            <a:rPr lang="en-GB" sz="1100" b="1"/>
            <a:t>CPP Contributions: </a:t>
          </a:r>
          <a:r>
            <a:rPr lang="en-GB" sz="1100"/>
            <a:t>Bob will start contributing to CPP only after age 40. Bob qualifies for maximum</a:t>
          </a:r>
          <a:r>
            <a:rPr lang="en-GB" sz="1100" baseline="0"/>
            <a:t> CPP contribution of $3867.</a:t>
          </a:r>
          <a:endParaRPr lang="en-GB" sz="1100"/>
        </a:p>
        <a:p>
          <a:r>
            <a:rPr lang="en-GB" sz="1100" b="1" u="none"/>
            <a:t>CPP Benefit Amount: </a:t>
          </a:r>
          <a:r>
            <a:rPr lang="en-GB" sz="1100"/>
            <a:t>The model assumes an estimated annual CPP benefit starting at age 60, adjusted for inflation.</a:t>
          </a:r>
        </a:p>
        <a:p>
          <a:r>
            <a:rPr lang="en-GB" sz="1100" b="1"/>
            <a:t>OAS Benefits: </a:t>
          </a:r>
          <a:r>
            <a:rPr lang="en-GB" sz="1100"/>
            <a:t>No OAS payments are included in the retirement income calculation since his working salary and expected retirement income exceed OAS payments limits.</a:t>
          </a:r>
        </a:p>
      </xdr:txBody>
    </xdr:sp>
    <xdr:clientData/>
  </xdr:oneCellAnchor>
  <xdr:oneCellAnchor>
    <xdr:from>
      <xdr:col>12</xdr:col>
      <xdr:colOff>1085471</xdr:colOff>
      <xdr:row>7</xdr:row>
      <xdr:rowOff>54273</xdr:rowOff>
    </xdr:from>
    <xdr:ext cx="6871026" cy="1124923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5F1469A-0FB4-A6FF-E17C-23CBC8F25718}"/>
            </a:ext>
          </a:extLst>
        </xdr:cNvPr>
        <xdr:cNvSpPr txBox="1"/>
      </xdr:nvSpPr>
      <xdr:spPr>
        <a:xfrm>
          <a:off x="13546668" y="1541367"/>
          <a:ext cx="6871026" cy="112492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/>
            <a:t>Formula used for CPP :</a:t>
          </a:r>
          <a:r>
            <a:rPr lang="en-GB" sz="1100"/>
            <a:t> CPP Benefit=(Total Years Contributed/39)×Maximum CPP Benefit</a:t>
          </a:r>
          <a:endParaRPr lang="en-GB" sz="1100" b="1"/>
        </a:p>
        <a:p>
          <a:endParaRPr lang="en-GB" sz="1100" b="1"/>
        </a:p>
        <a:p>
          <a:r>
            <a:rPr lang="en-GB" sz="1100" b="1"/>
            <a:t>Start at Age 60: </a:t>
          </a:r>
          <a:r>
            <a:rPr lang="en-GB" sz="1100"/>
            <a:t>If you start receiving CPP at age 60, your benefit will be reduced by 0.6% per month (7.2% per year).</a:t>
          </a:r>
        </a:p>
        <a:p>
          <a:r>
            <a:rPr lang="en-GB" sz="1100" b="1"/>
            <a:t>Start at Age 65: </a:t>
          </a:r>
          <a:r>
            <a:rPr lang="en-GB" sz="1100"/>
            <a:t>This is considered the normal age to begin receiving CPP benefits.</a:t>
          </a:r>
        </a:p>
        <a:p>
          <a:r>
            <a:rPr lang="en-GB" sz="1100" b="1"/>
            <a:t>Start at Age 70: </a:t>
          </a:r>
          <a:r>
            <a:rPr lang="en-GB" sz="1100"/>
            <a:t>If you wait until age 70, your CPP benefit will increase by 0.7% per month (8.4% per year). This means you could receive a higher benefit for each month you delay.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12700</xdr:rowOff>
    </xdr:from>
    <xdr:to>
      <xdr:col>0</xdr:col>
      <xdr:colOff>1778000</xdr:colOff>
      <xdr:row>81</xdr:row>
      <xdr:rowOff>119743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6E14E88-A048-5547-8303-E34E2248983E}"/>
            </a:ext>
          </a:extLst>
        </xdr:cNvPr>
        <xdr:cNvSpPr/>
      </xdr:nvSpPr>
      <xdr:spPr>
        <a:xfrm>
          <a:off x="0" y="12700"/>
          <a:ext cx="1778000" cy="16617043"/>
        </a:xfrm>
        <a:prstGeom prst="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127000</xdr:colOff>
      <xdr:row>1</xdr:row>
      <xdr:rowOff>101600</xdr:rowOff>
    </xdr:from>
    <xdr:to>
      <xdr:col>0</xdr:col>
      <xdr:colOff>1625600</xdr:colOff>
      <xdr:row>7</xdr:row>
      <xdr:rowOff>190500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11E140D5-FD1E-0444-B32C-44586D3BF12C}"/>
            </a:ext>
          </a:extLst>
        </xdr:cNvPr>
        <xdr:cNvSpPr/>
      </xdr:nvSpPr>
      <xdr:spPr>
        <a:xfrm>
          <a:off x="127000" y="317500"/>
          <a:ext cx="1498600" cy="1320800"/>
        </a:xfrm>
        <a:prstGeom prst="roundRect">
          <a:avLst>
            <a:gd name="adj" fmla="val 32353"/>
          </a:avLst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/>
            <a:t>BOB'S</a:t>
          </a:r>
          <a:r>
            <a:rPr lang="en-GB" sz="1500" baseline="0"/>
            <a:t> RETIREMENT MODEL</a:t>
          </a:r>
          <a:endParaRPr lang="en-GB" sz="1500"/>
        </a:p>
      </xdr:txBody>
    </xdr:sp>
    <xdr:clientData/>
  </xdr:twoCellAnchor>
  <xdr:twoCellAnchor editAs="oneCell">
    <xdr:from>
      <xdr:col>0</xdr:col>
      <xdr:colOff>139700</xdr:colOff>
      <xdr:row>9</xdr:row>
      <xdr:rowOff>112566</xdr:rowOff>
    </xdr:from>
    <xdr:to>
      <xdr:col>0</xdr:col>
      <xdr:colOff>1664138</xdr:colOff>
      <xdr:row>16</xdr:row>
      <xdr:rowOff>76200</xdr:rowOff>
    </xdr:to>
    <xdr:pic>
      <xdr:nvPicPr>
        <xdr:cNvPr id="4" name="Graphic 3" descr="Bar chart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77405-6316-984E-B7FC-DAD58B17A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700" y="1966766"/>
          <a:ext cx="1524438" cy="1398734"/>
        </a:xfrm>
        <a:prstGeom prst="rect">
          <a:avLst/>
        </a:prstGeom>
      </xdr:spPr>
    </xdr:pic>
    <xdr:clientData/>
  </xdr:twoCellAnchor>
  <xdr:twoCellAnchor editAs="oneCell">
    <xdr:from>
      <xdr:col>0</xdr:col>
      <xdr:colOff>200800</xdr:colOff>
      <xdr:row>17</xdr:row>
      <xdr:rowOff>200800</xdr:rowOff>
    </xdr:from>
    <xdr:to>
      <xdr:col>0</xdr:col>
      <xdr:colOff>1508900</xdr:colOff>
      <xdr:row>24</xdr:row>
      <xdr:rowOff>86500</xdr:rowOff>
    </xdr:to>
    <xdr:pic>
      <xdr:nvPicPr>
        <xdr:cNvPr id="5" name="Graphic 4" descr="Tabl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1FF8DE5-B97F-4C46-A2C1-05CAE5108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0800" y="3706000"/>
          <a:ext cx="1308100" cy="1308100"/>
        </a:xfrm>
        <a:prstGeom prst="rect">
          <a:avLst/>
        </a:prstGeom>
      </xdr:spPr>
    </xdr:pic>
    <xdr:clientData/>
  </xdr:twoCellAnchor>
  <xdr:oneCellAnchor>
    <xdr:from>
      <xdr:col>0</xdr:col>
      <xdr:colOff>254000</xdr:colOff>
      <xdr:row>15</xdr:row>
      <xdr:rowOff>152400</xdr:rowOff>
    </xdr:from>
    <xdr:ext cx="1218860" cy="32714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6EDD2E1-3DE1-C64B-81DC-61CD4FF15C51}"/>
            </a:ext>
          </a:extLst>
        </xdr:cNvPr>
        <xdr:cNvSpPr txBox="1"/>
      </xdr:nvSpPr>
      <xdr:spPr>
        <a:xfrm>
          <a:off x="254000" y="3225800"/>
          <a:ext cx="121886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oneCellAnchor>
  <xdr:oneCellAnchor>
    <xdr:from>
      <xdr:col>0</xdr:col>
      <xdr:colOff>0</xdr:colOff>
      <xdr:row>23</xdr:row>
      <xdr:rowOff>63500</xdr:rowOff>
    </xdr:from>
    <xdr:ext cx="1712328" cy="32714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D817137-7F21-9E47-992C-A658A762B892}"/>
            </a:ext>
          </a:extLst>
        </xdr:cNvPr>
        <xdr:cNvSpPr txBox="1"/>
      </xdr:nvSpPr>
      <xdr:spPr>
        <a:xfrm>
          <a:off x="0" y="4787900"/>
          <a:ext cx="1712328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RETIREMENT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100"/>
        </a:p>
      </xdr:txBody>
    </xdr:sp>
    <xdr:clientData/>
  </xdr:oneCellAnchor>
  <xdr:twoCellAnchor editAs="oneCell">
    <xdr:from>
      <xdr:col>0</xdr:col>
      <xdr:colOff>131233</xdr:colOff>
      <xdr:row>25</xdr:row>
      <xdr:rowOff>135467</xdr:rowOff>
    </xdr:from>
    <xdr:to>
      <xdr:col>0</xdr:col>
      <xdr:colOff>1579033</xdr:colOff>
      <xdr:row>32</xdr:row>
      <xdr:rowOff>160867</xdr:rowOff>
    </xdr:to>
    <xdr:pic>
      <xdr:nvPicPr>
        <xdr:cNvPr id="8" name="Graphic 7" descr="Disk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E154EEC-EA11-1646-A43E-9EBBEE250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1233" y="5266267"/>
          <a:ext cx="1447800" cy="14478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33</xdr:row>
      <xdr:rowOff>88900</xdr:rowOff>
    </xdr:from>
    <xdr:to>
      <xdr:col>0</xdr:col>
      <xdr:colOff>1473200</xdr:colOff>
      <xdr:row>39</xdr:row>
      <xdr:rowOff>152400</xdr:rowOff>
    </xdr:to>
    <xdr:pic>
      <xdr:nvPicPr>
        <xdr:cNvPr id="9" name="Graphic 8" descr="Users outline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6DE9C70-D35C-014E-99C7-57396F82A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0500" y="6845300"/>
          <a:ext cx="1282700" cy="1282700"/>
        </a:xfrm>
        <a:prstGeom prst="rect">
          <a:avLst/>
        </a:prstGeom>
      </xdr:spPr>
    </xdr:pic>
    <xdr:clientData/>
  </xdr:twoCellAnchor>
  <xdr:oneCellAnchor>
    <xdr:from>
      <xdr:col>0</xdr:col>
      <xdr:colOff>190500</xdr:colOff>
      <xdr:row>31</xdr:row>
      <xdr:rowOff>152400</xdr:rowOff>
    </xdr:from>
    <xdr:ext cx="1353576" cy="327141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4634D77-0186-9949-99FF-2940C9D52820}"/>
            </a:ext>
          </a:extLst>
        </xdr:cNvPr>
        <xdr:cNvSpPr txBox="1"/>
      </xdr:nvSpPr>
      <xdr:spPr>
        <a:xfrm>
          <a:off x="190500" y="6502400"/>
          <a:ext cx="1353576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GOLDEN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5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127000</xdr:colOff>
      <xdr:row>38</xdr:row>
      <xdr:rowOff>76200</xdr:rowOff>
    </xdr:from>
    <xdr:ext cx="1456040" cy="327141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388892F-213B-9C4E-8001-8538FEBCE022}"/>
            </a:ext>
          </a:extLst>
        </xdr:cNvPr>
        <xdr:cNvSpPr txBox="1"/>
      </xdr:nvSpPr>
      <xdr:spPr>
        <a:xfrm>
          <a:off x="127000" y="7848600"/>
          <a:ext cx="145604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CONTRIBUTORS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127000</xdr:colOff>
      <xdr:row>81</xdr:row>
      <xdr:rowOff>157843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55F2D9B-DA6D-8F48-AA13-23FD30E1D63A}"/>
            </a:ext>
          </a:extLst>
        </xdr:cNvPr>
        <xdr:cNvSpPr/>
      </xdr:nvSpPr>
      <xdr:spPr>
        <a:xfrm>
          <a:off x="0" y="0"/>
          <a:ext cx="1778000" cy="16617043"/>
        </a:xfrm>
        <a:prstGeom prst="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127000</xdr:colOff>
      <xdr:row>1</xdr:row>
      <xdr:rowOff>101600</xdr:rowOff>
    </xdr:from>
    <xdr:to>
      <xdr:col>1</xdr:col>
      <xdr:colOff>800100</xdr:colOff>
      <xdr:row>8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B0A2B86B-6A08-284A-A8BC-8F4A1BDC03EB}"/>
            </a:ext>
          </a:extLst>
        </xdr:cNvPr>
        <xdr:cNvSpPr/>
      </xdr:nvSpPr>
      <xdr:spPr>
        <a:xfrm>
          <a:off x="127000" y="304800"/>
          <a:ext cx="1498600" cy="1320800"/>
        </a:xfrm>
        <a:prstGeom prst="roundRect">
          <a:avLst>
            <a:gd name="adj" fmla="val 32353"/>
          </a:avLst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/>
            <a:t>BOB'S</a:t>
          </a:r>
          <a:r>
            <a:rPr lang="en-GB" sz="1500" baseline="0"/>
            <a:t> RETIREMENT MODEL</a:t>
          </a:r>
          <a:endParaRPr lang="en-GB" sz="1500"/>
        </a:p>
      </xdr:txBody>
    </xdr:sp>
    <xdr:clientData/>
  </xdr:twoCellAnchor>
  <xdr:twoCellAnchor editAs="oneCell">
    <xdr:from>
      <xdr:col>0</xdr:col>
      <xdr:colOff>139700</xdr:colOff>
      <xdr:row>9</xdr:row>
      <xdr:rowOff>125266</xdr:rowOff>
    </xdr:from>
    <xdr:to>
      <xdr:col>2</xdr:col>
      <xdr:colOff>13138</xdr:colOff>
      <xdr:row>16</xdr:row>
      <xdr:rowOff>101600</xdr:rowOff>
    </xdr:to>
    <xdr:pic>
      <xdr:nvPicPr>
        <xdr:cNvPr id="4" name="Graphic 3" descr="Bar chart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37CFC3-96F2-B14B-B544-632A2E830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700" y="1954066"/>
          <a:ext cx="1524438" cy="1398734"/>
        </a:xfrm>
        <a:prstGeom prst="rect">
          <a:avLst/>
        </a:prstGeom>
      </xdr:spPr>
    </xdr:pic>
    <xdr:clientData/>
  </xdr:twoCellAnchor>
  <xdr:twoCellAnchor editAs="oneCell">
    <xdr:from>
      <xdr:col>0</xdr:col>
      <xdr:colOff>200800</xdr:colOff>
      <xdr:row>18</xdr:row>
      <xdr:rowOff>35700</xdr:rowOff>
    </xdr:from>
    <xdr:to>
      <xdr:col>1</xdr:col>
      <xdr:colOff>683400</xdr:colOff>
      <xdr:row>24</xdr:row>
      <xdr:rowOff>124600</xdr:rowOff>
    </xdr:to>
    <xdr:pic>
      <xdr:nvPicPr>
        <xdr:cNvPr id="5" name="Graphic 4" descr="Tabl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FBB8EB-4B91-B941-A42E-57589F0B0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0800" y="3693300"/>
          <a:ext cx="1308100" cy="1308100"/>
        </a:xfrm>
        <a:prstGeom prst="rect">
          <a:avLst/>
        </a:prstGeom>
      </xdr:spPr>
    </xdr:pic>
    <xdr:clientData/>
  </xdr:twoCellAnchor>
  <xdr:oneCellAnchor>
    <xdr:from>
      <xdr:col>0</xdr:col>
      <xdr:colOff>254000</xdr:colOff>
      <xdr:row>15</xdr:row>
      <xdr:rowOff>165100</xdr:rowOff>
    </xdr:from>
    <xdr:ext cx="1218860" cy="32714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FE097EE-4D70-554E-B74B-B8C4F7863D44}"/>
            </a:ext>
          </a:extLst>
        </xdr:cNvPr>
        <xdr:cNvSpPr txBox="1"/>
      </xdr:nvSpPr>
      <xdr:spPr>
        <a:xfrm>
          <a:off x="254000" y="3213100"/>
          <a:ext cx="121886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oneCellAnchor>
  <xdr:oneCellAnchor>
    <xdr:from>
      <xdr:col>0</xdr:col>
      <xdr:colOff>0</xdr:colOff>
      <xdr:row>23</xdr:row>
      <xdr:rowOff>101600</xdr:rowOff>
    </xdr:from>
    <xdr:ext cx="1712328" cy="32714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07AC3C7-3425-6F41-9788-E7FD9C6CFFFA}"/>
            </a:ext>
          </a:extLst>
        </xdr:cNvPr>
        <xdr:cNvSpPr txBox="1"/>
      </xdr:nvSpPr>
      <xdr:spPr>
        <a:xfrm>
          <a:off x="0" y="4775200"/>
          <a:ext cx="1712328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RETIREMENT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100"/>
        </a:p>
      </xdr:txBody>
    </xdr:sp>
    <xdr:clientData/>
  </xdr:oneCellAnchor>
  <xdr:twoCellAnchor editAs="oneCell">
    <xdr:from>
      <xdr:col>0</xdr:col>
      <xdr:colOff>131233</xdr:colOff>
      <xdr:row>25</xdr:row>
      <xdr:rowOff>173567</xdr:rowOff>
    </xdr:from>
    <xdr:to>
      <xdr:col>1</xdr:col>
      <xdr:colOff>753533</xdr:colOff>
      <xdr:row>32</xdr:row>
      <xdr:rowOff>198967</xdr:rowOff>
    </xdr:to>
    <xdr:pic>
      <xdr:nvPicPr>
        <xdr:cNvPr id="8" name="Graphic 7" descr="Disk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C5EBDC3-B636-B446-A542-C48BF6E67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1233" y="5253567"/>
          <a:ext cx="1447800" cy="14478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33</xdr:row>
      <xdr:rowOff>127000</xdr:rowOff>
    </xdr:from>
    <xdr:to>
      <xdr:col>1</xdr:col>
      <xdr:colOff>647700</xdr:colOff>
      <xdr:row>39</xdr:row>
      <xdr:rowOff>190500</xdr:rowOff>
    </xdr:to>
    <xdr:pic>
      <xdr:nvPicPr>
        <xdr:cNvPr id="9" name="Graphic 8" descr="Users outline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F628296-F9D0-BA4A-9A5B-615158DC5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0500" y="6832600"/>
          <a:ext cx="1282700" cy="1282700"/>
        </a:xfrm>
        <a:prstGeom prst="rect">
          <a:avLst/>
        </a:prstGeom>
      </xdr:spPr>
    </xdr:pic>
    <xdr:clientData/>
  </xdr:twoCellAnchor>
  <xdr:oneCellAnchor>
    <xdr:from>
      <xdr:col>0</xdr:col>
      <xdr:colOff>190500</xdr:colOff>
      <xdr:row>31</xdr:row>
      <xdr:rowOff>190500</xdr:rowOff>
    </xdr:from>
    <xdr:ext cx="1353576" cy="327141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3FD4005-84D6-9842-9F32-C7D55FDD7B44}"/>
            </a:ext>
          </a:extLst>
        </xdr:cNvPr>
        <xdr:cNvSpPr txBox="1"/>
      </xdr:nvSpPr>
      <xdr:spPr>
        <a:xfrm>
          <a:off x="190500" y="6489700"/>
          <a:ext cx="1353576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GOLDEN</a:t>
          </a:r>
          <a:r>
            <a:rPr lang="en-GB" sz="15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GB" sz="15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127000</xdr:colOff>
      <xdr:row>38</xdr:row>
      <xdr:rowOff>114300</xdr:rowOff>
    </xdr:from>
    <xdr:ext cx="1456040" cy="327141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C89A5C9-4E20-EA4E-82EC-C5A1ABB46195}"/>
            </a:ext>
          </a:extLst>
        </xdr:cNvPr>
        <xdr:cNvSpPr txBox="1"/>
      </xdr:nvSpPr>
      <xdr:spPr>
        <a:xfrm>
          <a:off x="127000" y="7835900"/>
          <a:ext cx="1456040" cy="327141"/>
        </a:xfrm>
        <a:prstGeom prst="rect">
          <a:avLst/>
        </a:prstGeom>
        <a:solidFill>
          <a:srgbClr val="00206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500" b="1">
              <a:solidFill>
                <a:schemeClr val="bg1"/>
              </a:solidFill>
              <a:latin typeface="+mn-lt"/>
              <a:ea typeface="+mn-ea"/>
              <a:cs typeface="+mn-cs"/>
            </a:rPr>
            <a:t>CONTRIBUTORS</a:t>
          </a:r>
        </a:p>
      </xdr:txBody>
    </xdr:sp>
    <xdr:clientData/>
  </xdr:oneCellAnchor>
  <xdr:twoCellAnchor editAs="oneCell">
    <xdr:from>
      <xdr:col>9</xdr:col>
      <xdr:colOff>165100</xdr:colOff>
      <xdr:row>3</xdr:row>
      <xdr:rowOff>0</xdr:rowOff>
    </xdr:from>
    <xdr:to>
      <xdr:col>12</xdr:col>
      <xdr:colOff>482600</xdr:colOff>
      <xdr:row>16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C2C8A12-543A-6E56-2C7E-0BEEA7FDD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4600" y="609600"/>
          <a:ext cx="2794000" cy="27940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3</xdr:col>
      <xdr:colOff>785000</xdr:colOff>
      <xdr:row>2</xdr:row>
      <xdr:rowOff>188100</xdr:rowOff>
    </xdr:from>
    <xdr:to>
      <xdr:col>7</xdr:col>
      <xdr:colOff>215900</xdr:colOff>
      <xdr:row>16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A6DA0C3-AFBC-1719-A81F-58CF0858F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1500" y="594500"/>
          <a:ext cx="2732900" cy="27329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oneCellAnchor>
    <xdr:from>
      <xdr:col>9</xdr:col>
      <xdr:colOff>714862</xdr:colOff>
      <xdr:row>18</xdr:row>
      <xdr:rowOff>4720</xdr:rowOff>
    </xdr:from>
    <xdr:ext cx="1664303" cy="655949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DC18AB75-AFC5-1913-CF26-0E95CB6BE960}"/>
            </a:ext>
          </a:extLst>
        </xdr:cNvPr>
        <xdr:cNvSpPr txBox="1"/>
      </xdr:nvSpPr>
      <xdr:spPr>
        <a:xfrm>
          <a:off x="8144362" y="3662320"/>
          <a:ext cx="1664303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GB" sz="1800" b="1"/>
            <a:t>ARNAV MITTAL</a:t>
          </a:r>
        </a:p>
        <a:p>
          <a:pPr algn="ctr"/>
          <a:r>
            <a:rPr lang="en-GB" sz="1800" b="1"/>
            <a:t>T00724312</a:t>
          </a:r>
        </a:p>
      </xdr:txBody>
    </xdr:sp>
    <xdr:clientData/>
  </xdr:oneCellAnchor>
  <xdr:oneCellAnchor>
    <xdr:from>
      <xdr:col>4</xdr:col>
      <xdr:colOff>211200</xdr:colOff>
      <xdr:row>17</xdr:row>
      <xdr:rowOff>190500</xdr:rowOff>
    </xdr:from>
    <xdr:ext cx="2130904" cy="655949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F2BA9E8D-F7B9-F44B-AB11-561D2247F109}"/>
            </a:ext>
          </a:extLst>
        </xdr:cNvPr>
        <xdr:cNvSpPr txBox="1"/>
      </xdr:nvSpPr>
      <xdr:spPr>
        <a:xfrm>
          <a:off x="3513200" y="3644900"/>
          <a:ext cx="2130904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GB" sz="1800" b="1"/>
            <a:t>ABHINAV WADHWA</a:t>
          </a:r>
        </a:p>
        <a:p>
          <a:pPr algn="ctr"/>
          <a:r>
            <a:rPr lang="en-GB" sz="1800" b="1"/>
            <a:t>T00743990</a:t>
          </a:r>
        </a:p>
      </xdr:txBody>
    </xdr:sp>
    <xdr:clientData/>
  </xdr:oneCellAnchor>
  <xdr:oneCellAnchor>
    <xdr:from>
      <xdr:col>6</xdr:col>
      <xdr:colOff>63500</xdr:colOff>
      <xdr:row>21</xdr:row>
      <xdr:rowOff>165100</xdr:rowOff>
    </xdr:from>
    <xdr:ext cx="3858685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D3AA4DEC-DE1B-DFD7-3935-36F5E894ECE6}"/>
            </a:ext>
          </a:extLst>
        </xdr:cNvPr>
        <xdr:cNvSpPr txBox="1"/>
      </xdr:nvSpPr>
      <xdr:spPr>
        <a:xfrm>
          <a:off x="5016500" y="4432300"/>
          <a:ext cx="38586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>
              <a:solidFill>
                <a:schemeClr val="accent6">
                  <a:lumMod val="75000"/>
                </a:schemeClr>
              </a:solidFill>
            </a:rPr>
            <a:t>EQUALLY WORKED ON DASHBOARD AS WELL AS CALCULATIONS</a:t>
          </a:r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2-07T08:32:38.91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2-07T08:32:40.15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24575,'0'0'0</inkml:trace>
</inkml: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inav Wadhwa" refreshedDate="45697.849925347226" createdVersion="8" refreshedVersion="8" minRefreshableVersion="3" recordCount="46" xr:uid="{C3DBBD35-E914-BD41-9996-4D92AF9706DD}">
  <cacheSource type="worksheet">
    <worksheetSource ref="C21:L67" sheet="Calculations"/>
  </cacheSource>
  <cacheFields count="10">
    <cacheField name="Age" numFmtId="3">
      <sharedItems containsSemiMixedTypes="0" containsString="0" containsNumber="1" containsInteger="1" minValue="40" maxValue="85" count="46"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</sharedItems>
    </cacheField>
    <cacheField name="Income" numFmtId="3">
      <sharedItems containsSemiMixedTypes="0" containsString="0" containsNumber="1" minValue="100000" maxValue="378159.58416513476"/>
    </cacheField>
    <cacheField name="Employer" numFmtId="3">
      <sharedItems containsSemiMixedTypes="0" containsString="0" containsNumber="1" minValue="10000" maxValue="37815.95841651348"/>
    </cacheField>
    <cacheField name="Bob" numFmtId="3">
      <sharedItems containsSemiMixedTypes="0" containsString="0" containsNumber="1" minValue="8000" maxValue="30252.766733210781"/>
    </cacheField>
    <cacheField name="Assets Start" numFmtId="3">
      <sharedItems containsSemiMixedTypes="0" containsString="0" containsNumber="1" minValue="120000" maxValue="9164686.7886897195"/>
    </cacheField>
    <cacheField name="Assets End" numFmtId="3">
      <sharedItems containsSemiMixedTypes="0" containsString="0" containsNumber="1" minValue="142533" maxValue="9870416.5890477244"/>
    </cacheField>
    <cacheField name="CPP Contribution Employee" numFmtId="3">
      <sharedItems containsSemiMixedTypes="0" containsString="0" containsNumber="1" containsInteger="1" minValue="3867" maxValue="3867"/>
    </cacheField>
    <cacheField name="CPP Contribution Employer" numFmtId="3">
      <sharedItems containsSemiMixedTypes="0" containsString="0" containsNumber="1" containsInteger="1" minValue="3867" maxValue="3867"/>
    </cacheField>
    <cacheField name="Total accumulated CPP" numFmtId="3">
      <sharedItems containsSemiMixedTypes="0" containsString="0" containsNumber="1" containsInteger="1" minValue="7734" maxValue="355764"/>
    </cacheField>
    <cacheField name="Income after CPP Redn" numFmtId="3">
      <sharedItems containsSemiMixedTypes="0" containsString="0" containsNumber="1" minValue="96133" maxValue="374292.584165134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inav Wadhwa" refreshedDate="45697.849925462964" createdVersion="8" refreshedVersion="8" minRefreshableVersion="3" recordCount="45" xr:uid="{6CB22004-B14B-46FE-BE86-692E1AE60B43}">
  <cacheSource type="worksheet">
    <worksheetSource ref="N21:U66" sheet="Calculations"/>
  </cacheSource>
  <cacheFields count="8">
    <cacheField name="Age" numFmtId="1">
      <sharedItems containsSemiMixedTypes="0" containsString="0" containsNumber="1" containsInteger="1" minValue="64" maxValue="124" count="61"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23" u="1"/>
        <n v="124" u="1"/>
        <n v="66" u="1"/>
        <n v="65" u="1"/>
        <n v="64" u="1"/>
      </sharedItems>
    </cacheField>
    <cacheField name="Spending" numFmtId="3">
      <sharedItems containsSemiMixedTypes="0" containsString="0" containsNumber="1" minValue="155490.23038991101" maxValue="570874.95986397774"/>
    </cacheField>
    <cacheField name="Withdrawl" numFmtId="3">
      <sharedItems containsSemiMixedTypes="0" containsString="0" containsNumber="1" minValue="239215.73906140155" maxValue="878269.16902150423"/>
    </cacheField>
    <cacheField name="Tax Paid on Withdrawl" numFmtId="3">
      <sharedItems containsSemiMixedTypes="0" containsString="0" containsNumber="1" minValue="83725.508671490534" maxValue="307394.20915752649"/>
    </cacheField>
    <cacheField name="Inflation on Spending" numFmtId="3">
      <sharedItems containsSemiMixedTypes="0" containsString="0" containsNumber="1" minValue="0" maxValue="16627.426015455625"/>
    </cacheField>
    <cacheField name="CPP Benefits" numFmtId="0">
      <sharedItems containsSemiMixedTypes="0" containsString="0" containsNumber="1" minValue="12334.316070240004" maxValue="45284.852777507738"/>
    </cacheField>
    <cacheField name="Asset Start" numFmtId="3">
      <sharedItems containsSemiMixedTypes="0" containsString="0" containsNumber="1" minValue="-34473984.009393454" maxValue="2448212.4425060968"/>
    </cacheField>
    <cacheField name="Asset End" numFmtId="3">
      <sharedItems containsSemiMixedTypes="0" containsString="0" containsNumber="1" minValue="-37030667.526107118" maxValue="2343741.6416402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n v="100000"/>
    <n v="10000"/>
    <n v="8000"/>
    <n v="120000"/>
    <n v="142533"/>
    <n v="3867"/>
    <n v="3867"/>
    <n v="7734"/>
    <n v="96133"/>
  </r>
  <r>
    <x v="1"/>
    <n v="103000"/>
    <n v="10300"/>
    <n v="8240"/>
    <n v="142533"/>
    <n v="167183.31"/>
    <n v="3867"/>
    <n v="3867"/>
    <n v="15468"/>
    <n v="99133"/>
  </r>
  <r>
    <x v="2"/>
    <n v="106090"/>
    <n v="10609"/>
    <n v="8487.2000000000007"/>
    <n v="167183.31"/>
    <n v="194115.34170000002"/>
    <n v="3867"/>
    <n v="3867"/>
    <n v="23202"/>
    <n v="102223"/>
  </r>
  <r>
    <x v="3"/>
    <n v="109272.7"/>
    <n v="10927.27"/>
    <n v="8741.8159999999989"/>
    <n v="194115.34170000002"/>
    <n v="223505.50161900002"/>
    <n v="3867"/>
    <n v="3867"/>
    <n v="30936"/>
    <n v="105405.7"/>
  </r>
  <r>
    <x v="4"/>
    <n v="112550.88099999999"/>
    <n v="11255.088100000001"/>
    <n v="9004.0704800000003"/>
    <n v="223505.50161900002"/>
    <n v="255543.04531233001"/>
    <n v="3867"/>
    <n v="3867"/>
    <n v="38670"/>
    <n v="108683.88099999999"/>
  </r>
  <r>
    <x v="5"/>
    <n v="115927.40742999999"/>
    <n v="11592.740743"/>
    <n v="9274.1925943999995"/>
    <n v="255543.04531233001"/>
    <n v="290430.99182159314"/>
    <n v="3867"/>
    <n v="3867"/>
    <n v="46404"/>
    <n v="112060.40742999999"/>
  </r>
  <r>
    <x v="6"/>
    <n v="119405.2296529"/>
    <n v="11940.522965290002"/>
    <n v="9552.4183722319995"/>
    <n v="290430.99182159314"/>
    <n v="328387.10258662666"/>
    <n v="3867"/>
    <n v="3867"/>
    <n v="54138"/>
    <n v="115538.2296529"/>
  </r>
  <r>
    <x v="7"/>
    <n v="122987.386542487"/>
    <n v="12298.7386542487"/>
    <n v="9838.9909233989601"/>
    <n v="328387.10258662666"/>
    <n v="369644.9293453382"/>
    <n v="3867"/>
    <n v="3867"/>
    <n v="61872"/>
    <n v="119120.386542487"/>
  </r>
  <r>
    <x v="8"/>
    <n v="126677.00813876161"/>
    <n v="12667.700813876161"/>
    <n v="10134.160651100929"/>
    <n v="369644.9293453382"/>
    <n v="414454.935864489"/>
    <n v="3867"/>
    <n v="3867"/>
    <n v="69606"/>
    <n v="122810.00813876161"/>
  </r>
  <r>
    <x v="9"/>
    <n v="130477.31838292447"/>
    <n v="13047.731838292448"/>
    <n v="10438.185470633958"/>
    <n v="414454.935864489"/>
    <n v="463085.69868392969"/>
    <n v="3867"/>
    <n v="3867"/>
    <n v="77340"/>
    <n v="126610.31838292447"/>
  </r>
  <r>
    <x v="10"/>
    <n v="134391.6379344122"/>
    <n v="13439.163793441221"/>
    <n v="10751.331034752975"/>
    <n v="463085.69868392969"/>
    <n v="515825.19241999893"/>
    <n v="3867"/>
    <n v="3867"/>
    <n v="85074"/>
    <n v="130524.6379344122"/>
  </r>
  <r>
    <x v="11"/>
    <n v="138423.38707244457"/>
    <n v="13842.338707244458"/>
    <n v="11073.870965795566"/>
    <n v="515825.19241999893"/>
    <n v="572982.16556243901"/>
    <n v="3867"/>
    <n v="3867"/>
    <n v="92808"/>
    <n v="134556.38707244457"/>
  </r>
  <r>
    <x v="12"/>
    <n v="142576.08868461792"/>
    <n v="14257.608868461793"/>
    <n v="11406.087094769433"/>
    <n v="572982.16556243901"/>
    <n v="634887.61311504105"/>
    <n v="3867"/>
    <n v="3867"/>
    <n v="100542"/>
    <n v="138709.08868461792"/>
  </r>
  <r>
    <x v="13"/>
    <n v="146853.37134515645"/>
    <n v="14685.337134515647"/>
    <n v="11748.269707612517"/>
    <n v="634887.61311504105"/>
    <n v="701896.3528752221"/>
    <n v="3867"/>
    <n v="3867"/>
    <n v="108276"/>
    <n v="142986.37134515645"/>
  </r>
  <r>
    <x v="14"/>
    <n v="151258.97248551116"/>
    <n v="15125.897248551117"/>
    <n v="12100.717798840893"/>
    <n v="701896.3528752221"/>
    <n v="774388.71262387966"/>
    <n v="3867"/>
    <n v="3867"/>
    <n v="116010"/>
    <n v="147391.97248551116"/>
  </r>
  <r>
    <x v="15"/>
    <n v="155796.74166007648"/>
    <n v="15579.67416600765"/>
    <n v="12463.739332806119"/>
    <n v="774388.71262387966"/>
    <n v="852772.33600636502"/>
    <n v="3867"/>
    <n v="3867"/>
    <n v="123744"/>
    <n v="151929.74166007648"/>
  </r>
  <r>
    <x v="16"/>
    <n v="160470.6439098788"/>
    <n v="16047.06439098788"/>
    <n v="12837.651512790304"/>
    <n v="852772.33600636502"/>
    <n v="937484.11543058883"/>
    <n v="3867"/>
    <n v="3867"/>
    <n v="131478"/>
    <n v="156603.6439098788"/>
  </r>
  <r>
    <x v="17"/>
    <n v="165284.76322717516"/>
    <n v="16528.476322717517"/>
    <n v="13222.781058174012"/>
    <n v="937484.11543058883"/>
    <n v="1028992.2608916216"/>
    <n v="3867"/>
    <n v="3867"/>
    <n v="139212"/>
    <n v="161417.76322717516"/>
  </r>
  <r>
    <x v="18"/>
    <n v="170243.30612399042"/>
    <n v="17024.330612399044"/>
    <n v="13619.464489919234"/>
    <n v="1028992.2608916216"/>
    <n v="1127798.5142563535"/>
    <n v="3867"/>
    <n v="3867"/>
    <n v="146946"/>
    <n v="166376.30612399042"/>
  </r>
  <r>
    <x v="19"/>
    <n v="175350.60530771012"/>
    <n v="17535.060530771014"/>
    <n v="14028.048424616811"/>
    <n v="1127798.5142563535"/>
    <n v="1234440.5192096862"/>
    <n v="3867"/>
    <n v="3867"/>
    <n v="154680"/>
    <n v="171483.60530771012"/>
  </r>
  <r>
    <x v="20"/>
    <n v="180611.12346694144"/>
    <n v="18061.112346694146"/>
    <n v="14448.889877355316"/>
    <n v="1234440.5192096862"/>
    <n v="1349494.3577784139"/>
    <n v="3867"/>
    <n v="3867"/>
    <n v="162414"/>
    <n v="176744.12346694144"/>
  </r>
  <r>
    <x v="21"/>
    <n v="186029.4571709497"/>
    <n v="18602.945717094972"/>
    <n v="14882.356573675976"/>
    <n v="1349494.3577784139"/>
    <n v="1473577.2651136739"/>
    <n v="3867"/>
    <n v="3867"/>
    <n v="170148"/>
    <n v="182162.4571709497"/>
  </r>
  <r>
    <x v="22"/>
    <n v="191610.34088607819"/>
    <n v="19161.034088607819"/>
    <n v="15328.827270886255"/>
    <n v="1473577.2651136739"/>
    <n v="1607350.5350311252"/>
    <n v="3867"/>
    <n v="3867"/>
    <n v="177882"/>
    <n v="187743.34088607819"/>
  </r>
  <r>
    <x v="23"/>
    <n v="197358.65111266053"/>
    <n v="19735.865111266055"/>
    <n v="15788.692089012842"/>
    <n v="1607350.5350311252"/>
    <n v="1751522.6296835828"/>
    <n v="3867"/>
    <n v="3867"/>
    <n v="185616"/>
    <n v="193491.65111266053"/>
  </r>
  <r>
    <x v="24"/>
    <n v="203279.41064604034"/>
    <n v="20327.941064604034"/>
    <n v="16262.352851683227"/>
    <n v="1751522.6296835828"/>
    <n v="1906852.5076777211"/>
    <n v="3867"/>
    <n v="3867"/>
    <n v="193350"/>
    <n v="199412.41064604034"/>
  </r>
  <r>
    <x v="25"/>
    <n v="209377.79296542157"/>
    <n v="20937.779296542158"/>
    <n v="16750.223437233726"/>
    <n v="1906852.5076777211"/>
    <n v="2074153.1859489377"/>
    <n v="3867"/>
    <n v="3867"/>
    <n v="201084"/>
    <n v="205510.79296542157"/>
  </r>
  <r>
    <x v="26"/>
    <n v="215659.12675438423"/>
    <n v="21565.912675438423"/>
    <n v="17252.730140350737"/>
    <n v="2074153.1859489377"/>
    <n v="2254295.5517811528"/>
    <n v="3867"/>
    <n v="3867"/>
    <n v="208818"/>
    <n v="211792.12675438423"/>
  </r>
  <r>
    <x v="27"/>
    <n v="222128.90055701576"/>
    <n v="22212.890055701577"/>
    <n v="17770.312044561262"/>
    <n v="2254295.5517811528"/>
    <n v="2448212.4425060968"/>
    <n v="3867"/>
    <n v="3867"/>
    <n v="216552"/>
    <n v="218261.90055701576"/>
  </r>
  <r>
    <x v="28"/>
    <n v="228792.76757372625"/>
    <n v="22879.276757372627"/>
    <n v="18303.421405898102"/>
    <n v="2448212.4425060968"/>
    <n v="2656903.0116447941"/>
    <n v="3867"/>
    <n v="3867"/>
    <n v="224286"/>
    <n v="224925.76757372625"/>
  </r>
  <r>
    <x v="29"/>
    <n v="235656.55060093803"/>
    <n v="23565.655060093806"/>
    <n v="18852.524048075044"/>
    <n v="2656903.0116447941"/>
    <n v="2881437.4015680989"/>
    <n v="3867"/>
    <n v="3867"/>
    <n v="232020"/>
    <n v="231789.55060093803"/>
  </r>
  <r>
    <x v="30"/>
    <n v="242726.24711896619"/>
    <n v="24272.62471189662"/>
    <n v="19418.099769517295"/>
    <n v="2881437.4015680989"/>
    <n v="3122961.7441592803"/>
    <n v="3867"/>
    <n v="3867"/>
    <n v="239754"/>
    <n v="238859.24711896619"/>
  </r>
  <r>
    <x v="31"/>
    <n v="250008.03453253518"/>
    <n v="25000.80345325352"/>
    <n v="20000.642762602816"/>
    <n v="3122961.7441592803"/>
    <n v="3382703.5124662863"/>
    <n v="3867"/>
    <n v="3867"/>
    <n v="247488"/>
    <n v="246141.03453253518"/>
  </r>
  <r>
    <x v="32"/>
    <n v="257508.27556851125"/>
    <n v="25750.827556851127"/>
    <n v="20600.662045480902"/>
    <n v="3382703.5124662863"/>
    <n v="3661977.2479412584"/>
    <n v="3867"/>
    <n v="3867"/>
    <n v="255222"/>
    <n v="253641.27556851125"/>
  </r>
  <r>
    <x v="33"/>
    <n v="265233.52383556659"/>
    <n v="26523.352383556659"/>
    <n v="21218.681906845326"/>
    <n v="3661977.2479412584"/>
    <n v="3962190.6895875488"/>
    <n v="3867"/>
    <n v="3867"/>
    <n v="262956"/>
    <n v="261366.52383556659"/>
  </r>
  <r>
    <x v="34"/>
    <n v="273190.52955063363"/>
    <n v="27319.052955063366"/>
    <n v="21855.24236405069"/>
    <n v="3962190.6895875488"/>
    <n v="4284851.333177791"/>
    <n v="3867"/>
    <n v="3867"/>
    <n v="270690"/>
    <n v="269323.52955063363"/>
  </r>
  <r>
    <x v="35"/>
    <n v="281386.24543715263"/>
    <n v="28138.624543715265"/>
    <n v="22510.899634972211"/>
    <n v="4284851.333177791"/>
    <n v="4631573.4506789241"/>
    <n v="3867"/>
    <n v="3867"/>
    <n v="278424"/>
    <n v="277519.24543715263"/>
  </r>
  <r>
    <x v="36"/>
    <n v="289827.83280026721"/>
    <n v="28982.783280026721"/>
    <n v="23186.226624021376"/>
    <n v="4631573.4506789241"/>
    <n v="5004085.6021304978"/>
    <n v="3867"/>
    <n v="3867"/>
    <n v="286158"/>
    <n v="285960.83280026721"/>
  </r>
  <r>
    <x v="37"/>
    <n v="298522.66778427525"/>
    <n v="29852.266778427525"/>
    <n v="23881.81342274202"/>
    <n v="5004085.6021304978"/>
    <n v="5404238.6744808024"/>
    <n v="3867"/>
    <n v="3867"/>
    <n v="293892"/>
    <n v="294655.66778427525"/>
  </r>
  <r>
    <x v="38"/>
    <n v="307478.3478178035"/>
    <n v="30747.834781780351"/>
    <n v="24598.267825424278"/>
    <n v="5404238.6744808024"/>
    <n v="5834014.484301663"/>
    <n v="3867"/>
    <n v="3867"/>
    <n v="301626"/>
    <n v="303611.3478178035"/>
  </r>
  <r>
    <x v="39"/>
    <n v="316702.69825233764"/>
    <n v="31670.269825233765"/>
    <n v="25336.215860187011"/>
    <n v="5834014.484301663"/>
    <n v="6295534.9838882005"/>
    <n v="3867"/>
    <n v="3867"/>
    <n v="309360"/>
    <n v="312835.69825233764"/>
  </r>
  <r>
    <x v="40"/>
    <n v="326203.77919990779"/>
    <n v="32620.37791999078"/>
    <n v="26096.302335992623"/>
    <n v="6295534.9838882005"/>
    <n v="6791072.1130163576"/>
    <n v="3867"/>
    <n v="3867"/>
    <n v="317094"/>
    <n v="322336.77919990779"/>
  </r>
  <r>
    <x v="41"/>
    <n v="335989.89257590502"/>
    <n v="33598.989257590503"/>
    <n v="26879.191406072401"/>
    <n v="6791072.1130163576"/>
    <n v="7323058.3415911663"/>
    <n v="3867"/>
    <n v="3867"/>
    <n v="324828"/>
    <n v="332122.89257590502"/>
  </r>
  <r>
    <x v="42"/>
    <n v="346069.58935318218"/>
    <n v="34606.958935318216"/>
    <n v="27685.567148254573"/>
    <n v="7323058.3415911663"/>
    <n v="7894097.9515861208"/>
    <n v="3867"/>
    <n v="3867"/>
    <n v="332562"/>
    <n v="342202.58935318218"/>
  </r>
  <r>
    <x v="43"/>
    <n v="356451.67703377764"/>
    <n v="35645.167703377767"/>
    <n v="28516.134162702212"/>
    <n v="7894097.9515861208"/>
    <n v="8506979.1100632288"/>
    <n v="3867"/>
    <n v="3867"/>
    <n v="340296"/>
    <n v="352584.67703377764"/>
  </r>
  <r>
    <x v="44"/>
    <n v="367145.227344791"/>
    <n v="36714.522734479098"/>
    <n v="29371.618187583281"/>
    <n v="8506979.1100632288"/>
    <n v="9164686.7886897195"/>
    <n v="3867"/>
    <n v="3867"/>
    <n v="348030"/>
    <n v="363278.227344791"/>
  </r>
  <r>
    <x v="45"/>
    <n v="378159.58416513476"/>
    <n v="37815.95841651348"/>
    <n v="30252.766733210781"/>
    <n v="9164686.7886897195"/>
    <n v="9870416.5890477244"/>
    <n v="3867"/>
    <n v="3867"/>
    <n v="355764"/>
    <n v="374292.5841651347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n v="155490.23038991101"/>
    <n v="239215.73906140155"/>
    <n v="83725.508671490534"/>
    <n v="0"/>
    <n v="12334.316070240004"/>
    <n v="2448212.4425060968"/>
    <n v="2343741.6416402399"/>
  </r>
  <r>
    <x v="1"/>
    <n v="160154.93730160836"/>
    <n v="246392.21123324361"/>
    <n v="86237.273931635253"/>
    <n v="4664.7069116973435"/>
    <n v="12704.345552347204"/>
    <n v="2343741.6416402399"/>
    <n v="2227240.8580413554"/>
  </r>
  <r>
    <x v="2"/>
    <n v="164959.5854206566"/>
    <n v="253783.97757024091"/>
    <n v="88824.39214958431"/>
    <n v="4804.6481190482446"/>
    <n v="13085.47591891762"/>
    <n v="2227240.8580413554"/>
    <n v="2097904.3992920998"/>
  </r>
  <r>
    <x v="3"/>
    <n v="169908.37298327629"/>
    <n v="261397.49689734814"/>
    <n v="91489.123914071854"/>
    <n v="4948.787562619691"/>
    <n v="13478.04019648515"/>
    <n v="2097904.3992920998"/>
    <n v="1954880.162555842"/>
  </r>
  <r>
    <x v="4"/>
    <n v="175005.62417277458"/>
    <n v="269239.42180426855"/>
    <n v="94233.797631493973"/>
    <n v="5097.251189498289"/>
    <n v="13882.381402379704"/>
    <n v="1954880.162555842"/>
    <n v="1797267.1302817452"/>
  </r>
  <r>
    <x v="5"/>
    <n v="180255.79289795781"/>
    <n v="277316.60445839661"/>
    <n v="97060.8115604388"/>
    <n v="5250.1687251832336"/>
    <n v="14298.852844451096"/>
    <n v="1797267.1302817452"/>
    <n v="1624112.7351818872"/>
  </r>
  <r>
    <x v="6"/>
    <n v="185663.46668489656"/>
    <n v="285636.10259214853"/>
    <n v="99972.63590725197"/>
    <n v="5407.6737869387434"/>
    <n v="14727.818429784629"/>
    <n v="1624112.7351818872"/>
    <n v="1434410.0877786176"/>
  </r>
  <r>
    <x v="7"/>
    <n v="191233.37068544346"/>
    <n v="294205.18566991301"/>
    <n v="102971.81498446956"/>
    <n v="5569.9040005468996"/>
    <n v="15169.652982678168"/>
    <n v="1434410.0877786176"/>
    <n v="1227095.0594803139"/>
  </r>
  <r>
    <x v="8"/>
    <n v="196970.37180600676"/>
    <n v="303031.3412400104"/>
    <n v="106060.96943400364"/>
    <n v="5737.0011205633054"/>
    <n v="15624.742572158513"/>
    <n v="1227095.0594803139"/>
    <n v="1001043.2137864776"/>
  </r>
  <r>
    <x v="9"/>
    <n v="202879.48296018696"/>
    <n v="312122.28147721069"/>
    <n v="109242.79851702374"/>
    <n v="5909.1111541801947"/>
    <n v="16093.484849323269"/>
    <n v="1001043.2137864776"/>
    <n v="755066.57784791419"/>
  </r>
  <r>
    <x v="10"/>
    <n v="208965.86744899256"/>
    <n v="321485.949921527"/>
    <n v="112520.08247253444"/>
    <n v="6086.3844888056046"/>
    <n v="16576.289394802967"/>
    <n v="755066.57784791419"/>
    <n v="487910.24621358584"/>
  </r>
  <r>
    <x v="11"/>
    <n v="215234.84347246235"/>
    <n v="331130.52841917286"/>
    <n v="115895.68494671051"/>
    <n v="6268.9760234697897"/>
    <n v="17073.578076647056"/>
    <n v="487910.24621358584"/>
    <n v="198248.80818173935"/>
  </r>
  <r>
    <x v="12"/>
    <n v="221691.88877663622"/>
    <n v="341064.44427174801"/>
    <n v="119372.5554951118"/>
    <n v="6457.0453041738656"/>
    <n v="17585.785418946467"/>
    <n v="198248.80818173935"/>
    <n v="-115317.41026197522"/>
  </r>
  <r>
    <x v="13"/>
    <n v="228342.6454399353"/>
    <n v="351296.37759990041"/>
    <n v="122953.73215996512"/>
    <n v="6650.7566632990784"/>
    <n v="18113.358981514863"/>
    <n v="-115317.41026197522"/>
    <n v="-454266.29939345951"/>
  </r>
  <r>
    <x v="14"/>
    <n v="235192.92480313336"/>
    <n v="361835.26892789744"/>
    <n v="126642.34412476409"/>
    <n v="6850.2793631980603"/>
    <n v="18656.759750960307"/>
    <n v="-454266.29939345951"/>
    <n v="-820158.12354006968"/>
  </r>
  <r>
    <x v="15"/>
    <n v="242248.71254722736"/>
    <n v="372690.32699573442"/>
    <n v="130441.61444850705"/>
    <n v="7055.7877440940065"/>
    <n v="19216.462543489117"/>
    <n v="-820158.12354006968"/>
    <n v="-1214639.8941693185"/>
  </r>
  <r>
    <x v="16"/>
    <n v="249516.17392364418"/>
    <n v="383871.03680560639"/>
    <n v="134354.86288196221"/>
    <n v="7267.4613764168171"/>
    <n v="19792.956419793791"/>
    <n v="-1214639.8941693185"/>
    <n v="-1639449.9692635969"/>
  </r>
  <r>
    <x v="17"/>
    <n v="257001.65914135351"/>
    <n v="395387.16790977464"/>
    <n v="138385.50876842113"/>
    <n v="7485.4852177093271"/>
    <n v="20386.745112387605"/>
    <n v="-1639449.9692635969"/>
    <n v="-2096422.8905241636"/>
  </r>
  <r>
    <x v="18"/>
    <n v="264711.70891559409"/>
    <n v="407248.78294706781"/>
    <n v="142537.07403147372"/>
    <n v="7710.049774240586"/>
    <n v="20998.347465759234"/>
    <n v="-2096422.8905241636"/>
    <n v="-2587494.4705316802"/>
  </r>
  <r>
    <x v="19"/>
    <n v="272653.06018306193"/>
    <n v="419466.2464354799"/>
    <n v="146813.18625241797"/>
    <n v="7941.351267467835"/>
    <n v="21628.297889732014"/>
    <n v="-2587494.4705316802"/>
    <n v="-3114707.142604012"/>
  </r>
  <r>
    <x v="20"/>
    <n v="280832.65198855381"/>
    <n v="432050.23382854433"/>
    <n v="151217.58183999051"/>
    <n v="8179.5918054918875"/>
    <n v="22277.146826423974"/>
    <n v="-3114707.142604012"/>
    <n v="-3680215.5867363326"/>
  </r>
  <r>
    <x v="21"/>
    <n v="289257.63154821045"/>
    <n v="445011.74084340071"/>
    <n v="155754.10929519025"/>
    <n v="8424.97955965664"/>
    <n v="22945.461231216694"/>
    <n v="-3680215.5867363326"/>
    <n v="-4286292.6456853328"/>
  </r>
  <r>
    <x v="22"/>
    <n v="297935.36049465678"/>
    <n v="458362.09306870273"/>
    <n v="160426.73257404595"/>
    <n v="8677.7289464463247"/>
    <n v="23633.825068153194"/>
    <n v="-4286292.6456853328"/>
    <n v="-4935335.5459701493"/>
  </r>
  <r>
    <x v="23"/>
    <n v="306873.42130949651"/>
    <n v="472112.95586076385"/>
    <n v="165239.53455126734"/>
    <n v="8938.0608148397296"/>
    <n v="24342.839820197791"/>
    <n v="-4935335.5459701493"/>
    <n v="-5629872.4393092226"/>
  </r>
  <r>
    <x v="24"/>
    <n v="316079.6239487814"/>
    <n v="486276.34453658678"/>
    <n v="170196.72058780538"/>
    <n v="9206.2026392848929"/>
    <n v="25073.125014803725"/>
    <n v="-5629872.4393092226"/>
    <n v="-6372569.2807964673"/>
  </r>
  <r>
    <x v="25"/>
    <n v="325562.01266724482"/>
    <n v="500864.63487268431"/>
    <n v="175302.62220543949"/>
    <n v="9482.3887184634223"/>
    <n v="25825.318765247837"/>
    <n v="-6372569.2807964673"/>
    <n v="-7166237.0609437274"/>
  </r>
  <r>
    <x v="26"/>
    <n v="335328.8730472622"/>
    <n v="515890.57391886489"/>
    <n v="180561.70087160269"/>
    <n v="9766.8603800173732"/>
    <n v="26600.078328205273"/>
    <n v="-7166237.0609437274"/>
    <n v="-8013839.4095815737"/>
  </r>
  <r>
    <x v="27"/>
    <n v="345388.73923868005"/>
    <n v="531367.29113643081"/>
    <n v="185978.55189775076"/>
    <n v="10059.866191417852"/>
    <n v="27398.080678051432"/>
    <n v="-8013839.4095815737"/>
    <n v="-8918500.5905190315"/>
  </r>
  <r>
    <x v="28"/>
    <n v="355750.40141584043"/>
    <n v="547308.30987052375"/>
    <n v="191557.90845468332"/>
    <n v="10361.662177160382"/>
    <n v="28220.023098392976"/>
    <n v="-8918500.5905190315"/>
    <n v="-9883513.9068171158"/>
  </r>
  <r>
    <x v="29"/>
    <n v="366422.91345831566"/>
    <n v="563727.55916663946"/>
    <n v="197304.64570832381"/>
    <n v="10672.512042475224"/>
    <n v="29066.623791344766"/>
    <n v="-9883513.9068171158"/>
    <n v="-10912350.537533268"/>
  </r>
  <r>
    <x v="30"/>
    <n v="377415.60086206516"/>
    <n v="580639.38594163873"/>
    <n v="203223.78507957357"/>
    <n v="10992.6874037495"/>
    <n v="29938.62250508511"/>
    <n v="-10912350.537533268"/>
    <n v="-12008668.827846486"/>
  </r>
  <r>
    <x v="31"/>
    <n v="388738.0688879271"/>
    <n v="598058.56751988782"/>
    <n v="209320.49863196071"/>
    <n v="11322.468025861948"/>
    <n v="30836.781180237664"/>
    <n v="-12008668.827846486"/>
    <n v="-13176324.055578461"/>
  </r>
  <r>
    <x v="32"/>
    <n v="400400.21095456491"/>
    <n v="616000.3245454845"/>
    <n v="215600.11359091959"/>
    <n v="11662.142066637811"/>
    <n v="31761.884615644794"/>
    <n v="-13176324.055578461"/>
    <n v="-14419378.698287224"/>
  </r>
  <r>
    <x v="33"/>
    <n v="412412.21728320187"/>
    <n v="634480.33428184898"/>
    <n v="222068.11699864711"/>
    <n v="12012.006328636955"/>
    <n v="32714.741154114137"/>
    <n v="-14419378.698287224"/>
    <n v="-15742113.226329321"/>
  </r>
  <r>
    <x v="34"/>
    <n v="424784.58380169794"/>
    <n v="653514.74431030452"/>
    <n v="228730.16050860658"/>
    <n v="12372.36651849607"/>
    <n v="33696.183388737561"/>
    <n v="-15742113.226329321"/>
    <n v="-17149037.448567357"/>
  </r>
  <r>
    <x v="35"/>
    <n v="437528.1213157489"/>
    <n v="673120.1866396137"/>
    <n v="235592.06532386481"/>
    <n v="12743.537514050957"/>
    <n v="34707.068890399692"/>
    <n v="-17149037.448567357"/>
    <n v="-18644902.43874494"/>
  </r>
  <r>
    <x v="36"/>
    <n v="450653.9649552214"/>
    <n v="693313.79223880207"/>
    <n v="242659.82728358067"/>
    <n v="13125.843639472499"/>
    <n v="35748.280957111681"/>
    <n v="-18644902.43874494"/>
    <n v="-20234713.07196388"/>
  </r>
  <r>
    <x v="37"/>
    <n v="464173.58390387805"/>
    <n v="714113.20600596617"/>
    <n v="249939.62210208812"/>
    <n v="13519.618948656658"/>
    <n v="36820.729385825034"/>
    <n v="-20234713.07196388"/>
    <n v="-21923741.202182211"/>
  </r>
  <r>
    <x v="38"/>
    <n v="478098.79142099438"/>
    <n v="735536.60218614514"/>
    <n v="257437.81076515076"/>
    <n v="13925.207517116331"/>
    <n v="37925.351267399783"/>
    <n v="-21923741.202182211"/>
    <n v="-23717539.513210066"/>
  </r>
  <r>
    <x v="39"/>
    <n v="492441.75516362424"/>
    <n v="757602.70025172958"/>
    <n v="265160.94508810533"/>
    <n v="14342.963742629858"/>
    <n v="39063.11180542178"/>
    <n v="-23717539.513210066"/>
    <n v="-25621956.077316877"/>
  </r>
  <r>
    <x v="40"/>
    <n v="507215.00781853299"/>
    <n v="780330.78125928144"/>
    <n v="273115.77344074845"/>
    <n v="14773.252654908749"/>
    <n v="40235.005159584434"/>
    <n v="-25621956.077316877"/>
    <n v="-27643149.65728242"/>
  </r>
  <r>
    <x v="41"/>
    <n v="522431.45805308898"/>
    <n v="803740.70469705993"/>
    <n v="281309.24664397095"/>
    <n v="15216.450234555989"/>
    <n v="41442.055314371966"/>
    <n v="-27643149.65728242"/>
    <n v="-29787605.78952923"/>
  </r>
  <r>
    <x v="42"/>
    <n v="538104.40179468167"/>
    <n v="827852.92583797174"/>
    <n v="289748.52404329006"/>
    <n v="15672.943741592695"/>
    <n v="42685.316973803128"/>
    <n v="-29787605.78952923"/>
    <n v="-32062153.687869862"/>
  </r>
  <r>
    <x v="43"/>
    <n v="554247.53384852211"/>
    <n v="852688.51361311087"/>
    <n v="298440.97976458876"/>
    <n v="16143.13205384044"/>
    <n v="43965.876483017222"/>
    <n v="-32062153.687869862"/>
    <n v="-34473984.009393454"/>
  </r>
  <r>
    <x v="44"/>
    <n v="570874.95986397774"/>
    <n v="878269.16902150423"/>
    <n v="307394.20915752649"/>
    <n v="16627.426015455625"/>
    <n v="45284.852777507738"/>
    <n v="-34473984.009393454"/>
    <n v="-37030667.526107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B97CF9-AFC4-4029-9365-48EFB1AEB251}" name="PivotTable2" cacheId="140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C21:AD67" firstHeaderRow="1" firstDataRow="1" firstDataCol="1"/>
  <pivotFields count="8">
    <pivotField axis="axisRow" numFmtId="1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m="1" x="45"/>
        <item m="1" x="46"/>
        <item m="1" x="47"/>
        <item m="1" x="58"/>
        <item m="1" x="59"/>
        <item m="1" x="60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t="default"/>
      </items>
    </pivotField>
    <pivotField numFmtId="3" showAll="0"/>
    <pivotField numFmtId="3" showAll="0"/>
    <pivotField numFmtId="3" showAll="0"/>
    <pivotField numFmtId="3" showAll="0"/>
    <pivotField showAll="0"/>
    <pivotField numFmtId="3" showAll="0"/>
    <pivotField dataField="1" numFmtId="3" showAll="0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dataFields count="1">
    <dataField name="Sum of Asset End" fld="7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71C76-785B-944B-851B-718829A10FAE}" name="PivotTable4" cacheId="13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F21:AI68" firstHeaderRow="0" firstDataRow="1" firstDataCol="1"/>
  <pivotFields count="10">
    <pivotField axis="axisRow" numFmtId="3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dataField="1" numFmtId="3" showAll="0"/>
    <pivotField dataField="1" numFmtId="3" showAll="0"/>
    <pivotField dataField="1"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</pivotFields>
  <rowFields count="1">
    <field x="0"/>
  </rowFields>
  <rowItems count="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Employer Contribution" fld="2" baseField="0" baseItem="0" numFmtId="3"/>
    <dataField name="Bob's Saving" fld="3" baseField="0" baseItem="0" numFmtId="3"/>
    <dataField name="Bob's Income" fld="1" baseField="0" baseItem="0" numFmtId="3"/>
  </dataFields>
  <chartFormats count="3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BAB4FC-D1B9-40E5-B0A9-502D72217729}" name="PivotTable1" cacheId="140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X21:AA67" firstHeaderRow="0" firstDataRow="1" firstDataCol="1"/>
  <pivotFields count="8">
    <pivotField axis="axisRow" numFmtId="1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m="1" x="45"/>
        <item m="1" x="46"/>
        <item m="1" x="47"/>
        <item m="1" x="58"/>
        <item m="1" x="59"/>
        <item m="1" x="60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t="default"/>
      </items>
    </pivotField>
    <pivotField dataField="1" numFmtId="3" showAll="0"/>
    <pivotField dataField="1" numFmtId="3" showAll="0"/>
    <pivotField dataField="1" numFmtId="3" showAll="0"/>
    <pivotField numFmtId="3" showAll="0"/>
    <pivotField showAll="0"/>
    <pivotField numFmtId="3" showAll="0"/>
    <pivotField numFmtId="3" showAll="0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ax Paid on Withdrawl" fld="3" baseField="0" baseItem="0" numFmtId="3"/>
    <dataField name="Sum of Spending" fld="1" baseField="0" baseItem="0" numFmtId="3"/>
    <dataField name="Sum of Withdrawl" fld="2" baseField="0" baseItem="0" numFmtId="3"/>
  </dataFields>
  <chartFormats count="5">
    <chartFormat chart="5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88833-3320-48EC-B2B4-3B2535BE3609}" name="Table1" displayName="Table1" ref="N69:O80" totalsRowShown="0">
  <autoFilter ref="N69:O80" xr:uid="{63C88833-3320-48EC-B2B4-3B2535BE3609}"/>
  <tableColumns count="2">
    <tableColumn id="1" xr3:uid="{E29C44D3-6A62-43DA-B2BB-F2554B705391}" name="Age">
      <calculatedColumnFormula>N69+1</calculatedColumnFormula>
    </tableColumn>
    <tableColumn id="2" xr3:uid="{3498B9E4-0D87-4157-8508-A2CEDA5C41DA}" name="CPP Benefit" dataDxfId="0">
      <calculatedColumnFormula>O69*(1+0.084)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B7115-A4BB-104E-AF38-EB11FE6A519E}">
  <sheetPr codeName="Sheet1"/>
  <dimension ref="A1:Y295"/>
  <sheetViews>
    <sheetView tabSelected="1" zoomScaleNormal="100" workbookViewId="0">
      <selection activeCell="I3" sqref="I3"/>
    </sheetView>
  </sheetViews>
  <sheetFormatPr baseColWidth="10" defaultColWidth="10.6640625" defaultRowHeight="16"/>
  <cols>
    <col min="2" max="2" width="17.33203125" customWidth="1"/>
    <col min="6" max="6" width="13" bestFit="1" customWidth="1"/>
    <col min="7" max="7" width="12.33203125" bestFit="1" customWidth="1"/>
    <col min="8" max="8" width="16.6640625" bestFit="1" customWidth="1"/>
    <col min="10" max="10" width="12.33203125" bestFit="1" customWidth="1"/>
    <col min="11" max="11" width="15.5" bestFit="1" customWidth="1"/>
    <col min="24" max="24" width="18.5" customWidth="1"/>
  </cols>
  <sheetData>
    <row r="1" spans="1: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47">
        <f>Calculations!D18</f>
        <v>67</v>
      </c>
      <c r="Y1" s="47"/>
    </row>
    <row r="2" spans="1: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47">
        <f>Calculations!M17</f>
        <v>79</v>
      </c>
      <c r="Y2" s="47"/>
    </row>
    <row r="3" spans="1: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48">
        <f>Calculations!I22</f>
        <v>3867</v>
      </c>
      <c r="Y3" s="47"/>
    </row>
    <row r="4" spans="1:2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47"/>
      <c r="Y4" s="47"/>
    </row>
    <row r="5" spans="1: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48">
        <v>2</v>
      </c>
      <c r="Y5" s="47"/>
    </row>
    <row r="6" spans="1: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49">
        <f>Calculations!Bob_Savings_Rate</f>
        <v>8</v>
      </c>
      <c r="Y6" s="47"/>
    </row>
    <row r="7" spans="1: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49">
        <f>Calculations!PCT_Final_Income</f>
        <v>70</v>
      </c>
      <c r="Y7" s="47"/>
    </row>
    <row r="8" spans="1: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47"/>
      <c r="Y8" s="47"/>
    </row>
    <row r="9" spans="1: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47"/>
      <c r="Y9" s="47"/>
    </row>
    <row r="10" spans="1: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47"/>
      <c r="Y10" s="47"/>
    </row>
    <row r="11" spans="1:25" ht="18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50">
        <f>CHOOSE(X5, 0, 3867)</f>
        <v>3867</v>
      </c>
      <c r="Y11" s="47"/>
    </row>
    <row r="12" spans="1: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47"/>
      <c r="Y12" s="47"/>
    </row>
    <row r="13" spans="1: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47">
        <f>Calculations!D12</f>
        <v>3</v>
      </c>
      <c r="Y13" s="47"/>
    </row>
    <row r="14" spans="1:25" ht="2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31"/>
      <c r="R14" s="26"/>
      <c r="S14" s="26"/>
      <c r="T14" s="26"/>
      <c r="U14" s="26"/>
      <c r="V14" s="26"/>
      <c r="W14" s="26"/>
      <c r="X14" s="51">
        <f>Calculations!U20</f>
        <v>2343741.6416402399</v>
      </c>
      <c r="Y14" s="47"/>
    </row>
    <row r="15" spans="1: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52">
        <f>Calculations!S6</f>
        <v>-115317.41026197522</v>
      </c>
      <c r="Y15" s="47"/>
    </row>
    <row r="16" spans="1: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47"/>
      <c r="Y16" s="47"/>
    </row>
    <row r="17" spans="1:25" ht="19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30"/>
      <c r="P17" s="26"/>
      <c r="Q17" s="26"/>
      <c r="R17" s="26"/>
      <c r="S17" s="26"/>
      <c r="T17" s="26"/>
      <c r="U17" s="26"/>
      <c r="V17" s="26"/>
      <c r="W17" s="26"/>
      <c r="X17" s="26"/>
      <c r="Y17" s="26"/>
    </row>
    <row r="18" spans="1: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</row>
    <row r="20" spans="1: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</row>
    <row r="21" spans="1: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</row>
    <row r="22" spans="1: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</row>
    <row r="24" spans="1: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</row>
    <row r="25" spans="1: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</row>
    <row r="26" spans="1: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</row>
    <row r="27" spans="1: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</row>
    <row r="28" spans="1: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</row>
    <row r="29" spans="1: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</row>
    <row r="30" spans="1: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</row>
    <row r="31" spans="1: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</row>
    <row r="32" spans="1: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  <row r="33" spans="1: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</row>
    <row r="34" spans="1: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</row>
    <row r="35" spans="1: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</row>
    <row r="36" spans="1: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</row>
    <row r="37" spans="1: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</row>
    <row r="38" spans="1: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</row>
    <row r="39" spans="1: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</row>
    <row r="40" spans="1: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</row>
    <row r="41" spans="1: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</row>
    <row r="42" spans="1: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</row>
    <row r="43" spans="1: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</row>
    <row r="44" spans="1: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</row>
    <row r="45" spans="1: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</row>
    <row r="46" spans="1: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</row>
    <row r="47" spans="1: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</row>
    <row r="48" spans="1: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</row>
    <row r="49" spans="1: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</row>
    <row r="50" spans="1: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</row>
    <row r="51" spans="1: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</row>
    <row r="52" spans="1: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</row>
    <row r="53" spans="1: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</row>
    <row r="54" spans="1: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</row>
    <row r="55" spans="1: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</row>
    <row r="56" spans="1: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</row>
    <row r="57" spans="1: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</row>
    <row r="58" spans="1: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</row>
    <row r="59" spans="1: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</row>
    <row r="60" spans="1: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</row>
    <row r="61" spans="1: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</row>
    <row r="62" spans="1: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</row>
    <row r="63" spans="1: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</row>
    <row r="64" spans="1: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</row>
    <row r="65" spans="1: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</row>
    <row r="66" spans="1: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</row>
    <row r="67" spans="1: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</row>
    <row r="68" spans="1: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</row>
    <row r="69" spans="1: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</row>
    <row r="70" spans="1: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</row>
    <row r="71" spans="1: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</row>
    <row r="72" spans="1: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</row>
    <row r="73" spans="1: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</row>
    <row r="74" spans="1: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</row>
    <row r="75" spans="1: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</row>
    <row r="76" spans="1: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</row>
    <row r="77" spans="1: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</row>
    <row r="78" spans="1: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</row>
    <row r="79" spans="1: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</row>
    <row r="80" spans="1: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</row>
    <row r="81" spans="1: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</row>
    <row r="82" spans="1: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</row>
    <row r="83" spans="1: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</row>
    <row r="84" spans="1: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</row>
    <row r="85" spans="1: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</row>
    <row r="87" spans="1: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</row>
    <row r="88" spans="1: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</row>
    <row r="89" spans="1: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</row>
    <row r="90" spans="1: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</row>
    <row r="91" spans="1: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</row>
    <row r="92" spans="1: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</row>
    <row r="93" spans="1: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</row>
    <row r="94" spans="1: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</row>
    <row r="95" spans="1: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</row>
    <row r="96" spans="1: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</row>
    <row r="97" spans="1: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</row>
    <row r="98" spans="1: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</row>
    <row r="99" spans="1: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</row>
    <row r="100" spans="1: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</row>
    <row r="101" spans="1: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</row>
    <row r="102" spans="1: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</row>
    <row r="103" spans="1: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</row>
    <row r="104" spans="1: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</row>
    <row r="105" spans="1: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</row>
    <row r="106" spans="1: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</row>
    <row r="107" spans="1: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</row>
    <row r="108" spans="1: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</row>
    <row r="109" spans="1: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</row>
    <row r="110" spans="1: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</row>
    <row r="111" spans="1: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</row>
    <row r="112" spans="1: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</row>
    <row r="113" spans="1: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</row>
    <row r="114" spans="1: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</row>
    <row r="115" spans="1: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</row>
    <row r="116" spans="1: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</row>
    <row r="117" spans="1: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</row>
    <row r="118" spans="1: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</row>
    <row r="119" spans="1: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</row>
    <row r="120" spans="1: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</row>
    <row r="121" spans="1: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</row>
    <row r="122" spans="1: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</row>
    <row r="123" spans="1: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</row>
    <row r="124" spans="1: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</row>
    <row r="125" spans="1: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</row>
    <row r="126" spans="1: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</row>
    <row r="127" spans="1: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</row>
    <row r="128" spans="1: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</row>
    <row r="129" spans="1: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</row>
    <row r="130" spans="1: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</row>
    <row r="131" spans="1: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</row>
    <row r="132" spans="1: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</row>
    <row r="133" spans="1: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</row>
    <row r="134" spans="1: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</row>
    <row r="135" spans="1: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</row>
    <row r="136" spans="1: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</row>
    <row r="137" spans="1: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</row>
    <row r="138" spans="1: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</row>
    <row r="139" spans="1: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</row>
    <row r="140" spans="1: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</row>
    <row r="141" spans="1: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</row>
    <row r="142" spans="1: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</row>
    <row r="143" spans="1: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</row>
    <row r="144" spans="1: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</row>
    <row r="145" spans="1: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</row>
    <row r="146" spans="1: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</row>
    <row r="147" spans="1: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</row>
    <row r="148" spans="1: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</row>
    <row r="149" spans="1: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</row>
    <row r="150" spans="1: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</row>
    <row r="151" spans="1: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</row>
    <row r="152" spans="1: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</row>
    <row r="153" spans="1: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</row>
    <row r="154" spans="1: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</row>
    <row r="155" spans="1: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</row>
    <row r="156" spans="1: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</row>
    <row r="157" spans="1: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</row>
    <row r="158" spans="1: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</row>
    <row r="159" spans="1: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</row>
    <row r="160" spans="1: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</row>
    <row r="161" spans="1: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</row>
    <row r="162" spans="1: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</row>
    <row r="163" spans="1: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</row>
    <row r="164" spans="1: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</row>
    <row r="165" spans="1: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</row>
    <row r="166" spans="1: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</row>
    <row r="167" spans="1: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</row>
    <row r="168" spans="1: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</row>
    <row r="169" spans="1: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</row>
    <row r="170" spans="1: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</row>
    <row r="171" spans="1: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</row>
    <row r="172" spans="1: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</row>
    <row r="173" spans="1: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</row>
    <row r="174" spans="1: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</row>
    <row r="175" spans="1: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</row>
    <row r="176" spans="1: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</row>
    <row r="177" spans="1: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</row>
    <row r="178" spans="1: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</row>
    <row r="179" spans="1: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</row>
    <row r="180" spans="1: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</row>
    <row r="181" spans="1: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</row>
    <row r="182" spans="1: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</row>
    <row r="183" spans="1: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</row>
    <row r="184" spans="1: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</row>
    <row r="185" spans="1: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</row>
    <row r="186" spans="1: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</row>
    <row r="187" spans="1: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</row>
    <row r="188" spans="1: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</row>
    <row r="189" spans="1: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</row>
    <row r="190" spans="1: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</row>
    <row r="191" spans="1: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</row>
    <row r="192" spans="1: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</row>
    <row r="193" spans="1: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</row>
    <row r="194" spans="1: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</row>
    <row r="195" spans="1: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</row>
    <row r="196" spans="1: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</row>
    <row r="197" spans="1: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</row>
    <row r="198" spans="1: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</row>
    <row r="199" spans="1: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</row>
    <row r="200" spans="1: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</row>
    <row r="201" spans="1: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</row>
    <row r="202" spans="1: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</row>
    <row r="203" spans="1: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</row>
    <row r="204" spans="1: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</row>
    <row r="205" spans="1: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</row>
    <row r="206" spans="1: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</row>
    <row r="207" spans="1: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</row>
    <row r="208" spans="1: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</row>
    <row r="209" spans="1: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</row>
    <row r="210" spans="1: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</row>
    <row r="211" spans="1: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</row>
    <row r="212" spans="1: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</row>
    <row r="213" spans="1: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</row>
    <row r="214" spans="1: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</row>
    <row r="215" spans="1: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</row>
    <row r="216" spans="1: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</row>
    <row r="217" spans="1: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</row>
    <row r="218" spans="1: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</row>
    <row r="219" spans="1: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</row>
    <row r="220" spans="1: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</row>
    <row r="221" spans="1: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</row>
    <row r="222" spans="1: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</row>
    <row r="223" spans="1: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</row>
    <row r="224" spans="1: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</row>
    <row r="225" spans="1: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</row>
    <row r="226" spans="1: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</row>
    <row r="227" spans="1: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</row>
    <row r="228" spans="1: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</row>
    <row r="229" spans="1: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</row>
    <row r="230" spans="1: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</row>
    <row r="231" spans="1: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</row>
    <row r="232" spans="1: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</row>
    <row r="233" spans="1: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</row>
    <row r="234" spans="1: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</row>
    <row r="235" spans="1: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</row>
    <row r="236" spans="1: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</row>
    <row r="237" spans="1: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</row>
    <row r="238" spans="1: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</row>
    <row r="239" spans="1: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</row>
    <row r="240" spans="1: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</row>
    <row r="241" spans="1: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</row>
    <row r="242" spans="1: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</row>
    <row r="243" spans="1: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</row>
    <row r="244" spans="1: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</row>
    <row r="245" spans="1: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</row>
    <row r="246" spans="1: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</row>
    <row r="247" spans="1: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</row>
    <row r="248" spans="1: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</row>
    <row r="249" spans="1: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</row>
    <row r="250" spans="1: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</row>
    <row r="251" spans="1: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</row>
    <row r="252" spans="1: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</row>
    <row r="253" spans="1: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</row>
    <row r="254" spans="1: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</row>
    <row r="255" spans="1: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</row>
    <row r="256" spans="1: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</row>
    <row r="257" spans="1: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</row>
    <row r="258" spans="1: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</row>
    <row r="259" spans="1: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</row>
    <row r="260" spans="1: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</row>
    <row r="261" spans="1: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</row>
    <row r="262" spans="1: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</row>
    <row r="263" spans="1: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</row>
    <row r="264" spans="1: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</row>
    <row r="265" spans="1: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</row>
    <row r="266" spans="1: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</row>
    <row r="267" spans="1: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</row>
    <row r="268" spans="1: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</row>
    <row r="269" spans="1: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</row>
    <row r="270" spans="1: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</row>
    <row r="271" spans="1: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</row>
    <row r="272" spans="1: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</row>
    <row r="273" spans="1: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</row>
    <row r="274" spans="1: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</row>
    <row r="275" spans="1: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</row>
    <row r="276" spans="1: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</row>
    <row r="277" spans="1: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</row>
    <row r="278" spans="1: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</row>
    <row r="279" spans="1: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</row>
    <row r="280" spans="1: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</row>
    <row r="281" spans="1: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</row>
    <row r="282" spans="1: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</row>
    <row r="283" spans="1: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</row>
    <row r="284" spans="1: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</row>
    <row r="285" spans="1: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</row>
    <row r="286" spans="1: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</row>
    <row r="287" spans="1: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</row>
    <row r="288" spans="1: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</row>
    <row r="289" spans="1: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</row>
    <row r="290" spans="1: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</row>
    <row r="291" spans="1: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</row>
    <row r="292" spans="1: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</row>
    <row r="293" spans="1: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</row>
    <row r="294" spans="1: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</row>
    <row r="295" spans="1: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Spinner 10">
              <controlPr defaultSize="0" autoPict="0" macro="[0]!refreshData">
                <anchor moveWithCells="1" sizeWithCells="1">
                  <from>
                    <xdr:col>2</xdr:col>
                    <xdr:colOff>508000</xdr:colOff>
                    <xdr:row>2</xdr:row>
                    <xdr:rowOff>152400</xdr:rowOff>
                  </from>
                  <to>
                    <xdr:col>3</xdr:col>
                    <xdr:colOff>317500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Scroll Bar 23">
              <controlPr defaultSize="0" autoPict="0" macro="[0]!refreshData">
                <anchor moveWithCells="1">
                  <from>
                    <xdr:col>17</xdr:col>
                    <xdr:colOff>241300</xdr:colOff>
                    <xdr:row>12</xdr:row>
                    <xdr:rowOff>63500</xdr:rowOff>
                  </from>
                  <to>
                    <xdr:col>19</xdr:col>
                    <xdr:colOff>533400</xdr:colOff>
                    <xdr:row>13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" name="Scroll Bar 24">
              <controlPr defaultSize="0" autoPict="0" macro="[0]!refreshData">
                <anchor moveWithCells="1">
                  <from>
                    <xdr:col>5</xdr:col>
                    <xdr:colOff>469900</xdr:colOff>
                    <xdr:row>34</xdr:row>
                    <xdr:rowOff>127000</xdr:rowOff>
                  </from>
                  <to>
                    <xdr:col>7</xdr:col>
                    <xdr:colOff>368300</xdr:colOff>
                    <xdr:row>36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" name="Option Button 25">
              <controlPr defaultSize="0" autoFill="0" autoLine="0" autoPict="0" macro="[0]!refreshData">
                <anchor moveWithCells="1">
                  <from>
                    <xdr:col>7</xdr:col>
                    <xdr:colOff>406400</xdr:colOff>
                    <xdr:row>6</xdr:row>
                    <xdr:rowOff>0</xdr:rowOff>
                  </from>
                  <to>
                    <xdr:col>8</xdr:col>
                    <xdr:colOff>660400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" name="Option Button 26">
              <controlPr defaultSize="0" autoFill="0" autoLine="0" autoPict="0" macro="[0]!refreshData">
                <anchor moveWithCells="1">
                  <from>
                    <xdr:col>7</xdr:col>
                    <xdr:colOff>406400</xdr:colOff>
                    <xdr:row>7</xdr:row>
                    <xdr:rowOff>63500</xdr:rowOff>
                  </from>
                  <to>
                    <xdr:col>8</xdr:col>
                    <xdr:colOff>660400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9" name="Scroll Bar 27">
              <controlPr defaultSize="0" autoPict="0" macro="[0]!refreshData">
                <anchor moveWithCells="1">
                  <from>
                    <xdr:col>2</xdr:col>
                    <xdr:colOff>571500</xdr:colOff>
                    <xdr:row>33</xdr:row>
                    <xdr:rowOff>152400</xdr:rowOff>
                  </from>
                  <to>
                    <xdr:col>4</xdr:col>
                    <xdr:colOff>762000</xdr:colOff>
                    <xdr:row>35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2B89-AC51-FC46-8A0C-3CEA51B9C02A}">
  <sheetPr codeName="Sheet2"/>
  <dimension ref="B1:AI84"/>
  <sheetViews>
    <sheetView topLeftCell="K13" zoomScaleNormal="100" workbookViewId="0">
      <selection activeCell="I17" sqref="I17"/>
    </sheetView>
  </sheetViews>
  <sheetFormatPr baseColWidth="10" defaultColWidth="10.6640625" defaultRowHeight="16"/>
  <cols>
    <col min="1" max="1" width="23.33203125" customWidth="1"/>
    <col min="2" max="2" width="5.6640625" customWidth="1"/>
    <col min="3" max="3" width="19.1640625" bestFit="1" customWidth="1"/>
    <col min="4" max="4" width="14.6640625" customWidth="1"/>
    <col min="6" max="6" width="11" customWidth="1"/>
    <col min="7" max="7" width="15.5" customWidth="1"/>
    <col min="8" max="12" width="12.6640625" customWidth="1"/>
    <col min="13" max="13" width="21.33203125" customWidth="1"/>
    <col min="15" max="15" width="24.33203125" customWidth="1"/>
    <col min="17" max="17" width="21.5" customWidth="1"/>
    <col min="18" max="18" width="21.33203125" customWidth="1"/>
    <col min="19" max="19" width="15.6640625" customWidth="1"/>
    <col min="20" max="20" width="17.83203125" customWidth="1"/>
    <col min="21" max="21" width="15.1640625" customWidth="1"/>
    <col min="23" max="23" width="18.6640625" customWidth="1"/>
    <col min="24" max="24" width="13" bestFit="1" customWidth="1"/>
    <col min="25" max="25" width="26.6640625" bestFit="1" customWidth="1"/>
    <col min="26" max="26" width="15" bestFit="1" customWidth="1"/>
    <col min="27" max="27" width="16.33203125" bestFit="1" customWidth="1"/>
    <col min="28" max="28" width="16.6640625" bestFit="1" customWidth="1"/>
    <col min="29" max="29" width="13" bestFit="1" customWidth="1"/>
    <col min="30" max="30" width="15.5" bestFit="1" customWidth="1"/>
    <col min="32" max="32" width="13" bestFit="1" customWidth="1"/>
    <col min="33" max="33" width="19.6640625" bestFit="1" customWidth="1"/>
    <col min="34" max="34" width="11.6640625" bestFit="1" customWidth="1"/>
    <col min="35" max="35" width="12.1640625" bestFit="1" customWidth="1"/>
  </cols>
  <sheetData>
    <row r="1" spans="2:19" ht="17" thickBot="1"/>
    <row r="2" spans="2:19">
      <c r="B2" s="44" t="s">
        <v>0</v>
      </c>
      <c r="C2" s="44"/>
      <c r="D2" s="44"/>
      <c r="H2" s="1" t="s">
        <v>1</v>
      </c>
      <c r="I2" s="2"/>
      <c r="J2" s="2"/>
      <c r="K2" s="2"/>
      <c r="L2" s="2"/>
      <c r="M2" s="2"/>
      <c r="N2" s="2"/>
      <c r="O2" s="2"/>
      <c r="P2" s="3"/>
      <c r="R2" s="42">
        <f>T22*(1+ROA_Post)-P22+S22</f>
        <v>2343741.6416402399</v>
      </c>
    </row>
    <row r="3" spans="2:19" ht="18">
      <c r="H3" s="4" t="s">
        <v>2</v>
      </c>
      <c r="P3" s="5"/>
      <c r="R3" s="29"/>
    </row>
    <row r="4" spans="2:19">
      <c r="B4" s="44" t="s">
        <v>3</v>
      </c>
      <c r="C4" s="44"/>
      <c r="D4" s="44"/>
      <c r="H4" s="4" t="s">
        <v>4</v>
      </c>
      <c r="P4" s="5"/>
    </row>
    <row r="5" spans="2:19">
      <c r="C5" t="s">
        <v>54</v>
      </c>
      <c r="D5" s="6">
        <v>100000</v>
      </c>
      <c r="H5" s="4" t="s">
        <v>6</v>
      </c>
      <c r="P5" s="5"/>
    </row>
    <row r="6" spans="2:19" ht="17" thickBot="1">
      <c r="C6" t="s">
        <v>55</v>
      </c>
      <c r="D6" s="6">
        <v>120000</v>
      </c>
      <c r="H6" s="7" t="s">
        <v>8</v>
      </c>
      <c r="I6" s="8"/>
      <c r="J6" s="8"/>
      <c r="K6" s="8"/>
      <c r="L6" s="8"/>
      <c r="M6" s="8"/>
      <c r="N6" s="8"/>
      <c r="O6" s="8"/>
      <c r="P6" s="9"/>
      <c r="S6" s="42">
        <f>INDEX(U22:U66, MATCH(M17, N22:N66, 0))</f>
        <v>-115317.41026197522</v>
      </c>
    </row>
    <row r="7" spans="2:19">
      <c r="C7" t="s">
        <v>9</v>
      </c>
      <c r="D7" s="10">
        <v>0.1</v>
      </c>
    </row>
    <row r="8" spans="2:19">
      <c r="C8" t="s">
        <v>10</v>
      </c>
      <c r="D8" s="6">
        <v>40</v>
      </c>
      <c r="J8" s="24"/>
    </row>
    <row r="9" spans="2:19">
      <c r="C9" t="s">
        <v>11</v>
      </c>
      <c r="D9" s="11">
        <v>7.0000000000000007E-2</v>
      </c>
      <c r="J9" s="24"/>
    </row>
    <row r="10" spans="2:19">
      <c r="C10" t="s">
        <v>12</v>
      </c>
      <c r="D10" s="43">
        <v>0.05</v>
      </c>
      <c r="J10" s="24"/>
    </row>
    <row r="11" spans="2:19">
      <c r="C11" t="s">
        <v>13</v>
      </c>
      <c r="D11" s="11">
        <v>0.03</v>
      </c>
    </row>
    <row r="12" spans="2:19">
      <c r="C12" t="s">
        <v>49</v>
      </c>
      <c r="D12" s="33">
        <v>3</v>
      </c>
    </row>
    <row r="13" spans="2:19">
      <c r="C13" t="s">
        <v>14</v>
      </c>
      <c r="D13" s="43">
        <v>0.35</v>
      </c>
      <c r="O13" s="21"/>
    </row>
    <row r="14" spans="2:19">
      <c r="S14" s="25"/>
    </row>
    <row r="15" spans="2:19">
      <c r="B15" s="44" t="s">
        <v>15</v>
      </c>
      <c r="C15" s="44"/>
      <c r="D15" s="45"/>
    </row>
    <row r="16" spans="2:19" ht="17" thickBot="1">
      <c r="C16" t="s">
        <v>50</v>
      </c>
      <c r="D16" s="28">
        <v>8</v>
      </c>
    </row>
    <row r="17" spans="2:35" ht="17" thickBot="1">
      <c r="C17" t="s">
        <v>16</v>
      </c>
      <c r="D17" s="28">
        <v>70</v>
      </c>
      <c r="I17" s="13"/>
      <c r="J17" s="13"/>
      <c r="K17" s="13"/>
      <c r="L17" s="13" t="s">
        <v>17</v>
      </c>
      <c r="M17" s="14">
        <f>INDEX(N22:N66,MATCH(1,V22:V66,0))</f>
        <v>79</v>
      </c>
      <c r="U17" s="6"/>
    </row>
    <row r="18" spans="2:35">
      <c r="C18" t="s">
        <v>18</v>
      </c>
      <c r="D18" s="15">
        <v>67</v>
      </c>
    </row>
    <row r="20" spans="2:35">
      <c r="B20" t="s">
        <v>19</v>
      </c>
      <c r="E20" t="s">
        <v>20</v>
      </c>
      <c r="F20" t="s">
        <v>20</v>
      </c>
      <c r="N20" t="s">
        <v>21</v>
      </c>
      <c r="U20" s="42">
        <f>INDEX(U22:U66, MATCH(N22, N22:N66, 0))</f>
        <v>2343741.6416402399</v>
      </c>
      <c r="V20" t="s">
        <v>22</v>
      </c>
      <c r="Y20" s="16"/>
    </row>
    <row r="21" spans="2:35">
      <c r="C21" t="s">
        <v>10</v>
      </c>
      <c r="D21" t="s">
        <v>23</v>
      </c>
      <c r="E21" t="s">
        <v>24</v>
      </c>
      <c r="F21" t="s">
        <v>25</v>
      </c>
      <c r="G21" t="s">
        <v>26</v>
      </c>
      <c r="H21" t="s">
        <v>27</v>
      </c>
      <c r="I21" t="s">
        <v>33</v>
      </c>
      <c r="J21" t="s">
        <v>34</v>
      </c>
      <c r="K21" t="s">
        <v>36</v>
      </c>
      <c r="L21" t="s">
        <v>37</v>
      </c>
      <c r="N21" t="s">
        <v>10</v>
      </c>
      <c r="O21" t="s">
        <v>28</v>
      </c>
      <c r="P21" t="s">
        <v>29</v>
      </c>
      <c r="Q21" t="s">
        <v>38</v>
      </c>
      <c r="R21" t="s">
        <v>39</v>
      </c>
      <c r="S21" t="s">
        <v>35</v>
      </c>
      <c r="T21" t="s">
        <v>30</v>
      </c>
      <c r="U21" t="s">
        <v>31</v>
      </c>
      <c r="V21" t="s">
        <v>32</v>
      </c>
      <c r="X21" s="32" t="s">
        <v>41</v>
      </c>
      <c r="Y21" t="s">
        <v>48</v>
      </c>
      <c r="Z21" t="s">
        <v>44</v>
      </c>
      <c r="AA21" t="s">
        <v>40</v>
      </c>
      <c r="AC21" s="32" t="s">
        <v>41</v>
      </c>
      <c r="AD21" t="s">
        <v>45</v>
      </c>
      <c r="AF21" s="32" t="s">
        <v>41</v>
      </c>
      <c r="AG21" t="s">
        <v>53</v>
      </c>
      <c r="AH21" t="s">
        <v>51</v>
      </c>
      <c r="AI21" t="s">
        <v>52</v>
      </c>
    </row>
    <row r="22" spans="2:35">
      <c r="C22" s="17">
        <f>D8</f>
        <v>40</v>
      </c>
      <c r="D22" s="17">
        <f>D5</f>
        <v>100000</v>
      </c>
      <c r="E22" s="18">
        <f>D22*$D$7</f>
        <v>10000</v>
      </c>
      <c r="F22" s="18">
        <f t="shared" ref="F22:F53" si="0">D22*Bob_Savings_Rate/100</f>
        <v>8000</v>
      </c>
      <c r="G22" s="17">
        <f>D6</f>
        <v>120000</v>
      </c>
      <c r="H22" s="18">
        <f t="shared" ref="H22:H53" si="1">G22*(1+ROA_Pre)+F22+E22-I22</f>
        <v>142533</v>
      </c>
      <c r="I22" s="18">
        <f>CHOOSE(Dashboard!X5, 0, 3867)</f>
        <v>3867</v>
      </c>
      <c r="J22" s="18">
        <f>I22</f>
        <v>3867</v>
      </c>
      <c r="K22" s="18">
        <f>I22+J22</f>
        <v>7734</v>
      </c>
      <c r="L22" s="18">
        <f>D22-I22</f>
        <v>96133</v>
      </c>
      <c r="N22" s="36">
        <f>D18</f>
        <v>67</v>
      </c>
      <c r="O22" s="22">
        <f>PCT_Final_Income/100*VLOOKUP(N22,C22:D66,2,TRUE)</f>
        <v>155490.23038991101</v>
      </c>
      <c r="P22" s="18">
        <f t="shared" ref="P22:P66" si="2">O22/(1-$D$13)</f>
        <v>239215.73906140155</v>
      </c>
      <c r="Q22" s="18">
        <f>P22-O22</f>
        <v>83725.508671490534</v>
      </c>
      <c r="R22" s="18">
        <v>0</v>
      </c>
      <c r="S22" s="27">
        <f>IF($I$22=0, "0", IF(ISNA(VLOOKUP(N22, Table1[], 2, TRUE)), "0", VLOOKUP(N22, Table1[], 2, TRUE)))</f>
        <v>12334.316070240004</v>
      </c>
      <c r="T22" s="17">
        <f>VLOOKUP(N22,C22:H66,6,TRUE)</f>
        <v>2448212.4425060968</v>
      </c>
      <c r="U22" s="18">
        <f t="shared" ref="U22:U66" si="3">T22*(1+ROA_Post)-P22+S22</f>
        <v>2343741.6416402399</v>
      </c>
      <c r="V22" s="19">
        <f>IF(U22&lt;0,1,0)</f>
        <v>0</v>
      </c>
      <c r="X22" s="38">
        <v>67</v>
      </c>
      <c r="Y22" s="6">
        <v>83725.508671490534</v>
      </c>
      <c r="Z22" s="6">
        <v>155490.23038991101</v>
      </c>
      <c r="AA22" s="6">
        <v>239215.73906140155</v>
      </c>
      <c r="AC22" s="38">
        <v>67</v>
      </c>
      <c r="AD22" s="6">
        <v>2343741.6416402399</v>
      </c>
      <c r="AF22" s="46">
        <v>40</v>
      </c>
      <c r="AG22" s="6">
        <v>10000</v>
      </c>
      <c r="AH22" s="6">
        <v>8000</v>
      </c>
      <c r="AI22" s="6">
        <v>100000</v>
      </c>
    </row>
    <row r="23" spans="2:35">
      <c r="C23" s="18">
        <f>C22+1</f>
        <v>41</v>
      </c>
      <c r="D23" s="18">
        <f t="shared" ref="D23:D80" si="4">D22*(1+Income_Growth_Rate)</f>
        <v>103000</v>
      </c>
      <c r="E23" s="18">
        <f t="shared" ref="E23:E81" si="5">D23*$D$7</f>
        <v>10300</v>
      </c>
      <c r="F23" s="18">
        <f t="shared" si="0"/>
        <v>8240</v>
      </c>
      <c r="G23" s="17">
        <f t="shared" ref="G23:G54" si="6">H22</f>
        <v>142533</v>
      </c>
      <c r="H23" s="18">
        <f t="shared" si="1"/>
        <v>167183.31</v>
      </c>
      <c r="I23" s="18">
        <f t="shared" ref="I23:I54" si="7">$I$22</f>
        <v>3867</v>
      </c>
      <c r="J23" s="18">
        <f t="shared" ref="J23:J81" si="8">I23</f>
        <v>3867</v>
      </c>
      <c r="K23" s="18">
        <f>I23+J23+K22</f>
        <v>15468</v>
      </c>
      <c r="L23" s="18">
        <f t="shared" ref="L23:L81" si="9">D23-I23</f>
        <v>99133</v>
      </c>
      <c r="N23" s="37">
        <f>N22+1</f>
        <v>68</v>
      </c>
      <c r="O23" s="18">
        <f>O22*(1+$D$12/100)</f>
        <v>160154.93730160836</v>
      </c>
      <c r="P23" s="18">
        <f t="shared" si="2"/>
        <v>246392.21123324361</v>
      </c>
      <c r="Q23" s="18">
        <f t="shared" ref="Q23:Q66" si="10">P23-O23</f>
        <v>86237.273931635253</v>
      </c>
      <c r="R23" s="18">
        <f t="shared" ref="R23:R29" si="11">O23-O22</f>
        <v>4664.7069116973435</v>
      </c>
      <c r="S23" s="18">
        <f>S22*(1+$D$12/100)</f>
        <v>12704.345552347204</v>
      </c>
      <c r="T23" s="18">
        <f>U22</f>
        <v>2343741.6416402399</v>
      </c>
      <c r="U23" s="18">
        <f t="shared" si="3"/>
        <v>2227240.8580413554</v>
      </c>
      <c r="V23" s="19">
        <f t="shared" ref="V23:V66" si="12">IF(U23&lt;0,1,0)</f>
        <v>0</v>
      </c>
      <c r="X23" s="38">
        <v>68</v>
      </c>
      <c r="Y23" s="6">
        <v>86237.273931635253</v>
      </c>
      <c r="Z23" s="6">
        <v>160154.93730160836</v>
      </c>
      <c r="AA23" s="6">
        <v>246392.21123324361</v>
      </c>
      <c r="AC23" s="38">
        <v>68</v>
      </c>
      <c r="AD23" s="6">
        <v>2227240.8580413554</v>
      </c>
      <c r="AF23" s="46">
        <v>41</v>
      </c>
      <c r="AG23" s="6">
        <v>10300</v>
      </c>
      <c r="AH23" s="6">
        <v>8240</v>
      </c>
      <c r="AI23" s="6">
        <v>103000</v>
      </c>
    </row>
    <row r="24" spans="2:35">
      <c r="C24" s="18">
        <f t="shared" ref="C24:C80" si="13">C23+1</f>
        <v>42</v>
      </c>
      <c r="D24" s="18">
        <f t="shared" si="4"/>
        <v>106090</v>
      </c>
      <c r="E24" s="18">
        <f t="shared" si="5"/>
        <v>10609</v>
      </c>
      <c r="F24" s="18">
        <f t="shared" si="0"/>
        <v>8487.2000000000007</v>
      </c>
      <c r="G24" s="17">
        <f t="shared" si="6"/>
        <v>167183.31</v>
      </c>
      <c r="H24" s="18">
        <f t="shared" si="1"/>
        <v>194115.34170000002</v>
      </c>
      <c r="I24" s="18">
        <f t="shared" si="7"/>
        <v>3867</v>
      </c>
      <c r="J24" s="18">
        <f t="shared" si="8"/>
        <v>3867</v>
      </c>
      <c r="K24" s="18">
        <f>I24+J24+K23</f>
        <v>23202</v>
      </c>
      <c r="L24" s="18">
        <f t="shared" si="9"/>
        <v>102223</v>
      </c>
      <c r="N24" s="37">
        <f t="shared" ref="N24:N66" si="14">N23+1</f>
        <v>69</v>
      </c>
      <c r="O24" s="18">
        <f t="shared" ref="O24:O66" si="15">O23*(1+$D$12/100)</f>
        <v>164959.5854206566</v>
      </c>
      <c r="P24" s="18">
        <f t="shared" si="2"/>
        <v>253783.97757024091</v>
      </c>
      <c r="Q24" s="18">
        <f t="shared" si="10"/>
        <v>88824.39214958431</v>
      </c>
      <c r="R24" s="18">
        <f t="shared" si="11"/>
        <v>4804.6481190482446</v>
      </c>
      <c r="S24" s="18">
        <f>S23*(1+$D$12/100)</f>
        <v>13085.47591891762</v>
      </c>
      <c r="T24" s="18">
        <f t="shared" ref="T24:T66" si="16">U23</f>
        <v>2227240.8580413554</v>
      </c>
      <c r="U24" s="18">
        <f t="shared" si="3"/>
        <v>2097904.3992920998</v>
      </c>
      <c r="V24" s="19">
        <f t="shared" si="12"/>
        <v>0</v>
      </c>
      <c r="X24" s="38">
        <v>69</v>
      </c>
      <c r="Y24" s="6">
        <v>88824.39214958431</v>
      </c>
      <c r="Z24" s="6">
        <v>164959.5854206566</v>
      </c>
      <c r="AA24" s="6">
        <v>253783.97757024091</v>
      </c>
      <c r="AC24" s="38">
        <v>69</v>
      </c>
      <c r="AD24" s="6">
        <v>2097904.3992920998</v>
      </c>
      <c r="AF24" s="46">
        <v>42</v>
      </c>
      <c r="AG24" s="6">
        <v>10609</v>
      </c>
      <c r="AH24" s="6">
        <v>8487.2000000000007</v>
      </c>
      <c r="AI24" s="6">
        <v>106090</v>
      </c>
    </row>
    <row r="25" spans="2:35">
      <c r="C25" s="18">
        <f t="shared" si="13"/>
        <v>43</v>
      </c>
      <c r="D25" s="18">
        <f t="shared" si="4"/>
        <v>109272.7</v>
      </c>
      <c r="E25" s="18">
        <f t="shared" si="5"/>
        <v>10927.27</v>
      </c>
      <c r="F25" s="18">
        <f t="shared" si="0"/>
        <v>8741.8159999999989</v>
      </c>
      <c r="G25" s="17">
        <f t="shared" si="6"/>
        <v>194115.34170000002</v>
      </c>
      <c r="H25" s="18">
        <f t="shared" si="1"/>
        <v>223505.50161900002</v>
      </c>
      <c r="I25" s="18">
        <f t="shared" si="7"/>
        <v>3867</v>
      </c>
      <c r="J25" s="18">
        <f t="shared" si="8"/>
        <v>3867</v>
      </c>
      <c r="K25" s="18">
        <f>I25+J25+K24</f>
        <v>30936</v>
      </c>
      <c r="L25" s="18">
        <f t="shared" si="9"/>
        <v>105405.7</v>
      </c>
      <c r="N25" s="37">
        <f t="shared" si="14"/>
        <v>70</v>
      </c>
      <c r="O25" s="18">
        <f t="shared" si="15"/>
        <v>169908.37298327629</v>
      </c>
      <c r="P25" s="18">
        <f t="shared" si="2"/>
        <v>261397.49689734814</v>
      </c>
      <c r="Q25" s="18">
        <f t="shared" si="10"/>
        <v>91489.123914071854</v>
      </c>
      <c r="R25" s="18">
        <f t="shared" si="11"/>
        <v>4948.787562619691</v>
      </c>
      <c r="S25" s="18">
        <f t="shared" ref="S25:S66" si="17">S24*(1+$D$12/100)</f>
        <v>13478.04019648515</v>
      </c>
      <c r="T25" s="18">
        <f t="shared" si="16"/>
        <v>2097904.3992920998</v>
      </c>
      <c r="U25" s="18">
        <f t="shared" si="3"/>
        <v>1954880.162555842</v>
      </c>
      <c r="V25" s="19">
        <f t="shared" si="12"/>
        <v>0</v>
      </c>
      <c r="X25" s="38">
        <v>70</v>
      </c>
      <c r="Y25" s="6">
        <v>91489.123914071854</v>
      </c>
      <c r="Z25" s="6">
        <v>169908.37298327629</v>
      </c>
      <c r="AA25" s="6">
        <v>261397.49689734814</v>
      </c>
      <c r="AC25" s="38">
        <v>70</v>
      </c>
      <c r="AD25" s="6">
        <v>1954880.162555842</v>
      </c>
      <c r="AF25" s="46">
        <v>43</v>
      </c>
      <c r="AG25" s="6">
        <v>10927.27</v>
      </c>
      <c r="AH25" s="6">
        <v>8741.8159999999989</v>
      </c>
      <c r="AI25" s="6">
        <v>109272.7</v>
      </c>
    </row>
    <row r="26" spans="2:35">
      <c r="C26" s="18">
        <f t="shared" si="13"/>
        <v>44</v>
      </c>
      <c r="D26" s="18">
        <f t="shared" si="4"/>
        <v>112550.88099999999</v>
      </c>
      <c r="E26" s="18">
        <f t="shared" si="5"/>
        <v>11255.088100000001</v>
      </c>
      <c r="F26" s="18">
        <f t="shared" si="0"/>
        <v>9004.0704800000003</v>
      </c>
      <c r="G26" s="17">
        <f t="shared" si="6"/>
        <v>223505.50161900002</v>
      </c>
      <c r="H26" s="18">
        <f t="shared" si="1"/>
        <v>255543.04531233001</v>
      </c>
      <c r="I26" s="18">
        <f t="shared" si="7"/>
        <v>3867</v>
      </c>
      <c r="J26" s="18">
        <f t="shared" si="8"/>
        <v>3867</v>
      </c>
      <c r="K26" s="18">
        <f t="shared" ref="K26:K80" si="18">I26+J26+K25</f>
        <v>38670</v>
      </c>
      <c r="L26" s="18">
        <f t="shared" si="9"/>
        <v>108683.88099999999</v>
      </c>
      <c r="N26" s="37">
        <f t="shared" si="14"/>
        <v>71</v>
      </c>
      <c r="O26" s="18">
        <f t="shared" si="15"/>
        <v>175005.62417277458</v>
      </c>
      <c r="P26" s="18">
        <f t="shared" si="2"/>
        <v>269239.42180426855</v>
      </c>
      <c r="Q26" s="18">
        <f t="shared" si="10"/>
        <v>94233.797631493973</v>
      </c>
      <c r="R26" s="18">
        <f t="shared" si="11"/>
        <v>5097.251189498289</v>
      </c>
      <c r="S26" s="18">
        <f t="shared" si="17"/>
        <v>13882.381402379704</v>
      </c>
      <c r="T26" s="18">
        <f t="shared" si="16"/>
        <v>1954880.162555842</v>
      </c>
      <c r="U26" s="18">
        <f t="shared" si="3"/>
        <v>1797267.1302817452</v>
      </c>
      <c r="V26" s="19">
        <f t="shared" si="12"/>
        <v>0</v>
      </c>
      <c r="X26" s="38">
        <v>71</v>
      </c>
      <c r="Y26" s="6">
        <v>94233.797631493973</v>
      </c>
      <c r="Z26" s="6">
        <v>175005.62417277458</v>
      </c>
      <c r="AA26" s="6">
        <v>269239.42180426855</v>
      </c>
      <c r="AC26" s="38">
        <v>71</v>
      </c>
      <c r="AD26" s="6">
        <v>1797267.1302817452</v>
      </c>
      <c r="AF26" s="46">
        <v>44</v>
      </c>
      <c r="AG26" s="6">
        <v>11255.088100000001</v>
      </c>
      <c r="AH26" s="6">
        <v>9004.0704800000003</v>
      </c>
      <c r="AI26" s="6">
        <v>112550.88099999999</v>
      </c>
    </row>
    <row r="27" spans="2:35">
      <c r="C27" s="18">
        <f t="shared" si="13"/>
        <v>45</v>
      </c>
      <c r="D27" s="18">
        <f t="shared" si="4"/>
        <v>115927.40742999999</v>
      </c>
      <c r="E27" s="18">
        <f t="shared" si="5"/>
        <v>11592.740743</v>
      </c>
      <c r="F27" s="18">
        <f t="shared" si="0"/>
        <v>9274.1925943999995</v>
      </c>
      <c r="G27" s="17">
        <f t="shared" si="6"/>
        <v>255543.04531233001</v>
      </c>
      <c r="H27" s="18">
        <f t="shared" si="1"/>
        <v>290430.99182159314</v>
      </c>
      <c r="I27" s="18">
        <f t="shared" si="7"/>
        <v>3867</v>
      </c>
      <c r="J27" s="18">
        <f t="shared" si="8"/>
        <v>3867</v>
      </c>
      <c r="K27" s="18">
        <f t="shared" si="18"/>
        <v>46404</v>
      </c>
      <c r="L27" s="18">
        <f t="shared" si="9"/>
        <v>112060.40742999999</v>
      </c>
      <c r="N27" s="37">
        <f t="shared" si="14"/>
        <v>72</v>
      </c>
      <c r="O27" s="18">
        <f t="shared" si="15"/>
        <v>180255.79289795781</v>
      </c>
      <c r="P27" s="18">
        <f t="shared" si="2"/>
        <v>277316.60445839661</v>
      </c>
      <c r="Q27" s="18">
        <f t="shared" si="10"/>
        <v>97060.8115604388</v>
      </c>
      <c r="R27" s="18">
        <f t="shared" si="11"/>
        <v>5250.1687251832336</v>
      </c>
      <c r="S27" s="18">
        <f t="shared" si="17"/>
        <v>14298.852844451096</v>
      </c>
      <c r="T27" s="18">
        <f t="shared" si="16"/>
        <v>1797267.1302817452</v>
      </c>
      <c r="U27" s="18">
        <f t="shared" si="3"/>
        <v>1624112.7351818872</v>
      </c>
      <c r="V27" s="19">
        <f t="shared" si="12"/>
        <v>0</v>
      </c>
      <c r="X27" s="38">
        <v>72</v>
      </c>
      <c r="Y27" s="6">
        <v>97060.8115604388</v>
      </c>
      <c r="Z27" s="6">
        <v>180255.79289795781</v>
      </c>
      <c r="AA27" s="6">
        <v>277316.60445839661</v>
      </c>
      <c r="AC27" s="38">
        <v>72</v>
      </c>
      <c r="AD27" s="6">
        <v>1624112.7351818872</v>
      </c>
      <c r="AF27" s="46">
        <v>45</v>
      </c>
      <c r="AG27" s="6">
        <v>11592.740743</v>
      </c>
      <c r="AH27" s="6">
        <v>9274.1925943999995</v>
      </c>
      <c r="AI27" s="6">
        <v>115927.40742999999</v>
      </c>
    </row>
    <row r="28" spans="2:35">
      <c r="C28" s="18">
        <f t="shared" si="13"/>
        <v>46</v>
      </c>
      <c r="D28" s="18">
        <f t="shared" si="4"/>
        <v>119405.2296529</v>
      </c>
      <c r="E28" s="18">
        <f t="shared" si="5"/>
        <v>11940.522965290002</v>
      </c>
      <c r="F28" s="18">
        <f t="shared" si="0"/>
        <v>9552.4183722319995</v>
      </c>
      <c r="G28" s="17">
        <f t="shared" si="6"/>
        <v>290430.99182159314</v>
      </c>
      <c r="H28" s="18">
        <f t="shared" si="1"/>
        <v>328387.10258662666</v>
      </c>
      <c r="I28" s="18">
        <f t="shared" si="7"/>
        <v>3867</v>
      </c>
      <c r="J28" s="18">
        <f t="shared" si="8"/>
        <v>3867</v>
      </c>
      <c r="K28" s="18">
        <f t="shared" si="18"/>
        <v>54138</v>
      </c>
      <c r="L28" s="18">
        <f t="shared" si="9"/>
        <v>115538.2296529</v>
      </c>
      <c r="N28" s="37">
        <f t="shared" si="14"/>
        <v>73</v>
      </c>
      <c r="O28" s="18">
        <f t="shared" si="15"/>
        <v>185663.46668489656</v>
      </c>
      <c r="P28" s="18">
        <f t="shared" si="2"/>
        <v>285636.10259214853</v>
      </c>
      <c r="Q28" s="18">
        <f t="shared" si="10"/>
        <v>99972.63590725197</v>
      </c>
      <c r="R28" s="18">
        <f t="shared" si="11"/>
        <v>5407.6737869387434</v>
      </c>
      <c r="S28" s="18">
        <f t="shared" si="17"/>
        <v>14727.818429784629</v>
      </c>
      <c r="T28" s="18">
        <f t="shared" si="16"/>
        <v>1624112.7351818872</v>
      </c>
      <c r="U28" s="18">
        <f t="shared" si="3"/>
        <v>1434410.0877786176</v>
      </c>
      <c r="V28" s="19">
        <f t="shared" si="12"/>
        <v>0</v>
      </c>
      <c r="X28" s="38">
        <v>73</v>
      </c>
      <c r="Y28" s="6">
        <v>99972.63590725197</v>
      </c>
      <c r="Z28" s="6">
        <v>185663.46668489656</v>
      </c>
      <c r="AA28" s="6">
        <v>285636.10259214853</v>
      </c>
      <c r="AC28" s="38">
        <v>73</v>
      </c>
      <c r="AD28" s="6">
        <v>1434410.0877786176</v>
      </c>
      <c r="AF28" s="46">
        <v>46</v>
      </c>
      <c r="AG28" s="6">
        <v>11940.522965290002</v>
      </c>
      <c r="AH28" s="6">
        <v>9552.4183722319995</v>
      </c>
      <c r="AI28" s="6">
        <v>119405.2296529</v>
      </c>
    </row>
    <row r="29" spans="2:35">
      <c r="C29" s="18">
        <f t="shared" si="13"/>
        <v>47</v>
      </c>
      <c r="D29" s="18">
        <f t="shared" si="4"/>
        <v>122987.386542487</v>
      </c>
      <c r="E29" s="18">
        <f t="shared" si="5"/>
        <v>12298.7386542487</v>
      </c>
      <c r="F29" s="18">
        <f t="shared" si="0"/>
        <v>9838.9909233989601</v>
      </c>
      <c r="G29" s="17">
        <f t="shared" si="6"/>
        <v>328387.10258662666</v>
      </c>
      <c r="H29" s="18">
        <f t="shared" si="1"/>
        <v>369644.9293453382</v>
      </c>
      <c r="I29" s="18">
        <f t="shared" si="7"/>
        <v>3867</v>
      </c>
      <c r="J29" s="18">
        <f t="shared" si="8"/>
        <v>3867</v>
      </c>
      <c r="K29" s="18">
        <f t="shared" si="18"/>
        <v>61872</v>
      </c>
      <c r="L29" s="18">
        <f t="shared" si="9"/>
        <v>119120.386542487</v>
      </c>
      <c r="N29" s="37">
        <f t="shared" si="14"/>
        <v>74</v>
      </c>
      <c r="O29" s="18">
        <f t="shared" si="15"/>
        <v>191233.37068544346</v>
      </c>
      <c r="P29" s="18">
        <f t="shared" si="2"/>
        <v>294205.18566991301</v>
      </c>
      <c r="Q29" s="18">
        <f t="shared" si="10"/>
        <v>102971.81498446956</v>
      </c>
      <c r="R29" s="18">
        <f t="shared" si="11"/>
        <v>5569.9040005468996</v>
      </c>
      <c r="S29" s="18">
        <f t="shared" si="17"/>
        <v>15169.652982678168</v>
      </c>
      <c r="T29" s="18">
        <f t="shared" si="16"/>
        <v>1434410.0877786176</v>
      </c>
      <c r="U29" s="18">
        <f t="shared" si="3"/>
        <v>1227095.0594803139</v>
      </c>
      <c r="V29" s="19">
        <f t="shared" si="12"/>
        <v>0</v>
      </c>
      <c r="X29" s="38">
        <v>74</v>
      </c>
      <c r="Y29" s="6">
        <v>102971.81498446956</v>
      </c>
      <c r="Z29" s="6">
        <v>191233.37068544346</v>
      </c>
      <c r="AA29" s="6">
        <v>294205.18566991301</v>
      </c>
      <c r="AC29" s="38">
        <v>74</v>
      </c>
      <c r="AD29" s="6">
        <v>1227095.0594803139</v>
      </c>
      <c r="AF29" s="46">
        <v>47</v>
      </c>
      <c r="AG29" s="6">
        <v>12298.7386542487</v>
      </c>
      <c r="AH29" s="6">
        <v>9838.9909233989601</v>
      </c>
      <c r="AI29" s="6">
        <v>122987.386542487</v>
      </c>
    </row>
    <row r="30" spans="2:35">
      <c r="C30" s="18">
        <f t="shared" si="13"/>
        <v>48</v>
      </c>
      <c r="D30" s="18">
        <f t="shared" si="4"/>
        <v>126677.00813876161</v>
      </c>
      <c r="E30" s="18">
        <f t="shared" si="5"/>
        <v>12667.700813876161</v>
      </c>
      <c r="F30" s="18">
        <f t="shared" si="0"/>
        <v>10134.160651100929</v>
      </c>
      <c r="G30" s="17">
        <f t="shared" si="6"/>
        <v>369644.9293453382</v>
      </c>
      <c r="H30" s="18">
        <f t="shared" si="1"/>
        <v>414454.935864489</v>
      </c>
      <c r="I30" s="18">
        <f t="shared" si="7"/>
        <v>3867</v>
      </c>
      <c r="J30" s="18">
        <f t="shared" si="8"/>
        <v>3867</v>
      </c>
      <c r="K30" s="18">
        <f t="shared" si="18"/>
        <v>69606</v>
      </c>
      <c r="L30" s="18">
        <f t="shared" si="9"/>
        <v>122810.00813876161</v>
      </c>
      <c r="N30" s="37">
        <f t="shared" si="14"/>
        <v>75</v>
      </c>
      <c r="O30" s="18">
        <f t="shared" si="15"/>
        <v>196970.37180600676</v>
      </c>
      <c r="P30" s="18">
        <f t="shared" si="2"/>
        <v>303031.3412400104</v>
      </c>
      <c r="Q30" s="18">
        <f t="shared" si="10"/>
        <v>106060.96943400364</v>
      </c>
      <c r="R30" s="18">
        <f t="shared" ref="R30:R58" si="19">O30-O29</f>
        <v>5737.0011205633054</v>
      </c>
      <c r="S30" s="18">
        <f t="shared" si="17"/>
        <v>15624.742572158513</v>
      </c>
      <c r="T30" s="18">
        <f t="shared" si="16"/>
        <v>1227095.0594803139</v>
      </c>
      <c r="U30" s="18">
        <f t="shared" si="3"/>
        <v>1001043.2137864776</v>
      </c>
      <c r="V30" s="19">
        <f t="shared" si="12"/>
        <v>0</v>
      </c>
      <c r="X30" s="38">
        <v>75</v>
      </c>
      <c r="Y30" s="6">
        <v>106060.96943400364</v>
      </c>
      <c r="Z30" s="6">
        <v>196970.37180600676</v>
      </c>
      <c r="AA30" s="6">
        <v>303031.3412400104</v>
      </c>
      <c r="AC30" s="38">
        <v>75</v>
      </c>
      <c r="AD30" s="6">
        <v>1001043.2137864776</v>
      </c>
      <c r="AF30" s="46">
        <v>48</v>
      </c>
      <c r="AG30" s="6">
        <v>12667.700813876161</v>
      </c>
      <c r="AH30" s="6">
        <v>10134.160651100929</v>
      </c>
      <c r="AI30" s="6">
        <v>126677.00813876161</v>
      </c>
    </row>
    <row r="31" spans="2:35">
      <c r="C31" s="18">
        <f t="shared" si="13"/>
        <v>49</v>
      </c>
      <c r="D31" s="18">
        <f t="shared" si="4"/>
        <v>130477.31838292447</v>
      </c>
      <c r="E31" s="18">
        <f t="shared" si="5"/>
        <v>13047.731838292448</v>
      </c>
      <c r="F31" s="18">
        <f t="shared" si="0"/>
        <v>10438.185470633958</v>
      </c>
      <c r="G31" s="17">
        <f t="shared" si="6"/>
        <v>414454.935864489</v>
      </c>
      <c r="H31" s="18">
        <f t="shared" si="1"/>
        <v>463085.69868392969</v>
      </c>
      <c r="I31" s="18">
        <f t="shared" si="7"/>
        <v>3867</v>
      </c>
      <c r="J31" s="18">
        <f t="shared" si="8"/>
        <v>3867</v>
      </c>
      <c r="K31" s="18">
        <f t="shared" si="18"/>
        <v>77340</v>
      </c>
      <c r="L31" s="18">
        <f t="shared" si="9"/>
        <v>126610.31838292447</v>
      </c>
      <c r="N31" s="37">
        <f t="shared" si="14"/>
        <v>76</v>
      </c>
      <c r="O31" s="18">
        <f t="shared" si="15"/>
        <v>202879.48296018696</v>
      </c>
      <c r="P31" s="18">
        <f t="shared" si="2"/>
        <v>312122.28147721069</v>
      </c>
      <c r="Q31" s="18">
        <f t="shared" si="10"/>
        <v>109242.79851702374</v>
      </c>
      <c r="R31" s="18">
        <f t="shared" si="19"/>
        <v>5909.1111541801947</v>
      </c>
      <c r="S31" s="18">
        <f t="shared" si="17"/>
        <v>16093.484849323269</v>
      </c>
      <c r="T31" s="18">
        <f t="shared" si="16"/>
        <v>1001043.2137864776</v>
      </c>
      <c r="U31" s="18">
        <f t="shared" si="3"/>
        <v>755066.57784791419</v>
      </c>
      <c r="V31" s="19">
        <f t="shared" si="12"/>
        <v>0</v>
      </c>
      <c r="X31" s="38">
        <v>76</v>
      </c>
      <c r="Y31" s="6">
        <v>109242.79851702374</v>
      </c>
      <c r="Z31" s="6">
        <v>202879.48296018696</v>
      </c>
      <c r="AA31" s="6">
        <v>312122.28147721069</v>
      </c>
      <c r="AC31" s="38">
        <v>76</v>
      </c>
      <c r="AD31" s="6">
        <v>755066.57784791419</v>
      </c>
      <c r="AF31" s="46">
        <v>49</v>
      </c>
      <c r="AG31" s="6">
        <v>13047.731838292448</v>
      </c>
      <c r="AH31" s="6">
        <v>10438.185470633958</v>
      </c>
      <c r="AI31" s="6">
        <v>130477.31838292447</v>
      </c>
    </row>
    <row r="32" spans="2:35">
      <c r="C32" s="18">
        <f t="shared" si="13"/>
        <v>50</v>
      </c>
      <c r="D32" s="18">
        <f t="shared" si="4"/>
        <v>134391.6379344122</v>
      </c>
      <c r="E32" s="18">
        <f t="shared" si="5"/>
        <v>13439.163793441221</v>
      </c>
      <c r="F32" s="18">
        <f t="shared" si="0"/>
        <v>10751.331034752975</v>
      </c>
      <c r="G32" s="17">
        <f t="shared" si="6"/>
        <v>463085.69868392969</v>
      </c>
      <c r="H32" s="18">
        <f t="shared" si="1"/>
        <v>515825.19241999893</v>
      </c>
      <c r="I32" s="18">
        <f t="shared" si="7"/>
        <v>3867</v>
      </c>
      <c r="J32" s="18">
        <f t="shared" si="8"/>
        <v>3867</v>
      </c>
      <c r="K32" s="18">
        <f t="shared" si="18"/>
        <v>85074</v>
      </c>
      <c r="L32" s="18">
        <f t="shared" si="9"/>
        <v>130524.6379344122</v>
      </c>
      <c r="N32" s="37">
        <f t="shared" si="14"/>
        <v>77</v>
      </c>
      <c r="O32" s="18">
        <f t="shared" si="15"/>
        <v>208965.86744899256</v>
      </c>
      <c r="P32" s="18">
        <f t="shared" si="2"/>
        <v>321485.949921527</v>
      </c>
      <c r="Q32" s="18">
        <f t="shared" si="10"/>
        <v>112520.08247253444</v>
      </c>
      <c r="R32" s="18">
        <f t="shared" si="19"/>
        <v>6086.3844888056046</v>
      </c>
      <c r="S32" s="18">
        <f t="shared" si="17"/>
        <v>16576.289394802967</v>
      </c>
      <c r="T32" s="18">
        <f t="shared" si="16"/>
        <v>755066.57784791419</v>
      </c>
      <c r="U32" s="18">
        <f t="shared" si="3"/>
        <v>487910.24621358584</v>
      </c>
      <c r="V32" s="19">
        <f t="shared" si="12"/>
        <v>0</v>
      </c>
      <c r="X32" s="38">
        <v>77</v>
      </c>
      <c r="Y32" s="6">
        <v>112520.08247253444</v>
      </c>
      <c r="Z32" s="6">
        <v>208965.86744899256</v>
      </c>
      <c r="AA32" s="6">
        <v>321485.949921527</v>
      </c>
      <c r="AC32" s="38">
        <v>77</v>
      </c>
      <c r="AD32" s="6">
        <v>487910.24621358584</v>
      </c>
      <c r="AF32" s="46">
        <v>50</v>
      </c>
      <c r="AG32" s="6">
        <v>13439.163793441221</v>
      </c>
      <c r="AH32" s="6">
        <v>10751.331034752975</v>
      </c>
      <c r="AI32" s="6">
        <v>134391.6379344122</v>
      </c>
    </row>
    <row r="33" spans="3:35">
      <c r="C33" s="18">
        <f t="shared" si="13"/>
        <v>51</v>
      </c>
      <c r="D33" s="18">
        <f t="shared" si="4"/>
        <v>138423.38707244457</v>
      </c>
      <c r="E33" s="18">
        <f t="shared" si="5"/>
        <v>13842.338707244458</v>
      </c>
      <c r="F33" s="18">
        <f t="shared" si="0"/>
        <v>11073.870965795566</v>
      </c>
      <c r="G33" s="17">
        <f t="shared" si="6"/>
        <v>515825.19241999893</v>
      </c>
      <c r="H33" s="18">
        <f t="shared" si="1"/>
        <v>572982.16556243901</v>
      </c>
      <c r="I33" s="18">
        <f t="shared" si="7"/>
        <v>3867</v>
      </c>
      <c r="J33" s="18">
        <f t="shared" si="8"/>
        <v>3867</v>
      </c>
      <c r="K33" s="18">
        <f t="shared" si="18"/>
        <v>92808</v>
      </c>
      <c r="L33" s="18">
        <f t="shared" si="9"/>
        <v>134556.38707244457</v>
      </c>
      <c r="N33" s="37">
        <f t="shared" si="14"/>
        <v>78</v>
      </c>
      <c r="O33" s="18">
        <f t="shared" si="15"/>
        <v>215234.84347246235</v>
      </c>
      <c r="P33" s="18">
        <f t="shared" si="2"/>
        <v>331130.52841917286</v>
      </c>
      <c r="Q33" s="18">
        <f t="shared" si="10"/>
        <v>115895.68494671051</v>
      </c>
      <c r="R33" s="18">
        <f t="shared" si="19"/>
        <v>6268.9760234697897</v>
      </c>
      <c r="S33" s="18">
        <f t="shared" si="17"/>
        <v>17073.578076647056</v>
      </c>
      <c r="T33" s="18">
        <f t="shared" si="16"/>
        <v>487910.24621358584</v>
      </c>
      <c r="U33" s="18">
        <f t="shared" si="3"/>
        <v>198248.80818173935</v>
      </c>
      <c r="V33" s="19">
        <f t="shared" si="12"/>
        <v>0</v>
      </c>
      <c r="X33" s="38">
        <v>78</v>
      </c>
      <c r="Y33" s="6">
        <v>115895.68494671051</v>
      </c>
      <c r="Z33" s="6">
        <v>215234.84347246235</v>
      </c>
      <c r="AA33" s="6">
        <v>331130.52841917286</v>
      </c>
      <c r="AC33" s="38">
        <v>78</v>
      </c>
      <c r="AD33" s="6">
        <v>198248.80818173935</v>
      </c>
      <c r="AF33" s="46">
        <v>51</v>
      </c>
      <c r="AG33" s="6">
        <v>13842.338707244458</v>
      </c>
      <c r="AH33" s="6">
        <v>11073.870965795566</v>
      </c>
      <c r="AI33" s="6">
        <v>138423.38707244457</v>
      </c>
    </row>
    <row r="34" spans="3:35">
      <c r="C34" s="18">
        <f t="shared" si="13"/>
        <v>52</v>
      </c>
      <c r="D34" s="18">
        <f t="shared" si="4"/>
        <v>142576.08868461792</v>
      </c>
      <c r="E34" s="18">
        <f t="shared" si="5"/>
        <v>14257.608868461793</v>
      </c>
      <c r="F34" s="18">
        <f t="shared" si="0"/>
        <v>11406.087094769433</v>
      </c>
      <c r="G34" s="17">
        <f t="shared" si="6"/>
        <v>572982.16556243901</v>
      </c>
      <c r="H34" s="18">
        <f t="shared" si="1"/>
        <v>634887.61311504105</v>
      </c>
      <c r="I34" s="18">
        <f t="shared" si="7"/>
        <v>3867</v>
      </c>
      <c r="J34" s="18">
        <f t="shared" si="8"/>
        <v>3867</v>
      </c>
      <c r="K34" s="18">
        <f t="shared" si="18"/>
        <v>100542</v>
      </c>
      <c r="L34" s="18">
        <f t="shared" si="9"/>
        <v>138709.08868461792</v>
      </c>
      <c r="N34" s="37">
        <f t="shared" si="14"/>
        <v>79</v>
      </c>
      <c r="O34" s="18">
        <f t="shared" si="15"/>
        <v>221691.88877663622</v>
      </c>
      <c r="P34" s="18">
        <f t="shared" si="2"/>
        <v>341064.44427174801</v>
      </c>
      <c r="Q34" s="18">
        <f t="shared" si="10"/>
        <v>119372.5554951118</v>
      </c>
      <c r="R34" s="18">
        <f t="shared" si="19"/>
        <v>6457.0453041738656</v>
      </c>
      <c r="S34" s="18">
        <f t="shared" si="17"/>
        <v>17585.785418946467</v>
      </c>
      <c r="T34" s="18">
        <f t="shared" si="16"/>
        <v>198248.80818173935</v>
      </c>
      <c r="U34" s="18">
        <f t="shared" si="3"/>
        <v>-115317.41026197522</v>
      </c>
      <c r="V34" s="19">
        <f t="shared" si="12"/>
        <v>1</v>
      </c>
      <c r="X34" s="38">
        <v>79</v>
      </c>
      <c r="Y34" s="6">
        <v>119372.5554951118</v>
      </c>
      <c r="Z34" s="6">
        <v>221691.88877663622</v>
      </c>
      <c r="AA34" s="6">
        <v>341064.44427174801</v>
      </c>
      <c r="AC34" s="38">
        <v>79</v>
      </c>
      <c r="AD34" s="6">
        <v>-115317.41026197522</v>
      </c>
      <c r="AF34" s="46">
        <v>52</v>
      </c>
      <c r="AG34" s="6">
        <v>14257.608868461793</v>
      </c>
      <c r="AH34" s="6">
        <v>11406.087094769433</v>
      </c>
      <c r="AI34" s="6">
        <v>142576.08868461792</v>
      </c>
    </row>
    <row r="35" spans="3:35">
      <c r="C35" s="18">
        <f t="shared" si="13"/>
        <v>53</v>
      </c>
      <c r="D35" s="18">
        <f t="shared" si="4"/>
        <v>146853.37134515645</v>
      </c>
      <c r="E35" s="18">
        <f t="shared" si="5"/>
        <v>14685.337134515647</v>
      </c>
      <c r="F35" s="18">
        <f t="shared" si="0"/>
        <v>11748.269707612517</v>
      </c>
      <c r="G35" s="17">
        <f t="shared" si="6"/>
        <v>634887.61311504105</v>
      </c>
      <c r="H35" s="18">
        <f t="shared" si="1"/>
        <v>701896.3528752221</v>
      </c>
      <c r="I35" s="18">
        <f t="shared" si="7"/>
        <v>3867</v>
      </c>
      <c r="J35" s="18">
        <f t="shared" si="8"/>
        <v>3867</v>
      </c>
      <c r="K35" s="18">
        <f t="shared" si="18"/>
        <v>108276</v>
      </c>
      <c r="L35" s="18">
        <f t="shared" si="9"/>
        <v>142986.37134515645</v>
      </c>
      <c r="N35" s="37">
        <f t="shared" si="14"/>
        <v>80</v>
      </c>
      <c r="O35" s="18">
        <f t="shared" si="15"/>
        <v>228342.6454399353</v>
      </c>
      <c r="P35" s="18">
        <f t="shared" si="2"/>
        <v>351296.37759990041</v>
      </c>
      <c r="Q35" s="18">
        <f t="shared" si="10"/>
        <v>122953.73215996512</v>
      </c>
      <c r="R35" s="18">
        <f t="shared" si="19"/>
        <v>6650.7566632990784</v>
      </c>
      <c r="S35" s="18">
        <f t="shared" si="17"/>
        <v>18113.358981514863</v>
      </c>
      <c r="T35" s="18">
        <f t="shared" si="16"/>
        <v>-115317.41026197522</v>
      </c>
      <c r="U35" s="18">
        <f t="shared" si="3"/>
        <v>-454266.29939345951</v>
      </c>
      <c r="V35" s="19">
        <f t="shared" si="12"/>
        <v>1</v>
      </c>
      <c r="X35" s="38">
        <v>80</v>
      </c>
      <c r="Y35" s="6">
        <v>122953.73215996512</v>
      </c>
      <c r="Z35" s="6">
        <v>228342.6454399353</v>
      </c>
      <c r="AA35" s="6">
        <v>351296.37759990041</v>
      </c>
      <c r="AC35" s="38">
        <v>80</v>
      </c>
      <c r="AD35" s="6">
        <v>-454266.29939345951</v>
      </c>
      <c r="AF35" s="46">
        <v>53</v>
      </c>
      <c r="AG35" s="6">
        <v>14685.337134515647</v>
      </c>
      <c r="AH35" s="6">
        <v>11748.269707612517</v>
      </c>
      <c r="AI35" s="6">
        <v>146853.37134515645</v>
      </c>
    </row>
    <row r="36" spans="3:35">
      <c r="C36" s="18">
        <f t="shared" si="13"/>
        <v>54</v>
      </c>
      <c r="D36" s="18">
        <f t="shared" si="4"/>
        <v>151258.97248551116</v>
      </c>
      <c r="E36" s="18">
        <f t="shared" si="5"/>
        <v>15125.897248551117</v>
      </c>
      <c r="F36" s="18">
        <f t="shared" si="0"/>
        <v>12100.717798840893</v>
      </c>
      <c r="G36" s="17">
        <f t="shared" si="6"/>
        <v>701896.3528752221</v>
      </c>
      <c r="H36" s="18">
        <f t="shared" si="1"/>
        <v>774388.71262387966</v>
      </c>
      <c r="I36" s="18">
        <f t="shared" si="7"/>
        <v>3867</v>
      </c>
      <c r="J36" s="18">
        <f t="shared" si="8"/>
        <v>3867</v>
      </c>
      <c r="K36" s="18">
        <f t="shared" si="18"/>
        <v>116010</v>
      </c>
      <c r="L36" s="18">
        <f t="shared" si="9"/>
        <v>147391.97248551116</v>
      </c>
      <c r="N36" s="37">
        <f t="shared" si="14"/>
        <v>81</v>
      </c>
      <c r="O36" s="18">
        <f t="shared" si="15"/>
        <v>235192.92480313336</v>
      </c>
      <c r="P36" s="18">
        <f t="shared" si="2"/>
        <v>361835.26892789744</v>
      </c>
      <c r="Q36" s="18">
        <f t="shared" si="10"/>
        <v>126642.34412476409</v>
      </c>
      <c r="R36" s="18">
        <f t="shared" si="19"/>
        <v>6850.2793631980603</v>
      </c>
      <c r="S36" s="18">
        <f t="shared" si="17"/>
        <v>18656.759750960307</v>
      </c>
      <c r="T36" s="18">
        <f t="shared" si="16"/>
        <v>-454266.29939345951</v>
      </c>
      <c r="U36" s="18">
        <f t="shared" si="3"/>
        <v>-820158.12354006968</v>
      </c>
      <c r="V36" s="19">
        <f t="shared" si="12"/>
        <v>1</v>
      </c>
      <c r="X36" s="38">
        <v>81</v>
      </c>
      <c r="Y36" s="6">
        <v>126642.34412476409</v>
      </c>
      <c r="Z36" s="6">
        <v>235192.92480313336</v>
      </c>
      <c r="AA36" s="6">
        <v>361835.26892789744</v>
      </c>
      <c r="AC36" s="38">
        <v>81</v>
      </c>
      <c r="AD36" s="6">
        <v>-820158.12354006968</v>
      </c>
      <c r="AF36" s="46">
        <v>54</v>
      </c>
      <c r="AG36" s="6">
        <v>15125.897248551117</v>
      </c>
      <c r="AH36" s="6">
        <v>12100.717798840893</v>
      </c>
      <c r="AI36" s="6">
        <v>151258.97248551116</v>
      </c>
    </row>
    <row r="37" spans="3:35">
      <c r="C37" s="18">
        <f t="shared" si="13"/>
        <v>55</v>
      </c>
      <c r="D37" s="18">
        <f t="shared" si="4"/>
        <v>155796.74166007648</v>
      </c>
      <c r="E37" s="18">
        <f t="shared" si="5"/>
        <v>15579.67416600765</v>
      </c>
      <c r="F37" s="18">
        <f t="shared" si="0"/>
        <v>12463.739332806119</v>
      </c>
      <c r="G37" s="17">
        <f t="shared" si="6"/>
        <v>774388.71262387966</v>
      </c>
      <c r="H37" s="18">
        <f t="shared" si="1"/>
        <v>852772.33600636502</v>
      </c>
      <c r="I37" s="18">
        <f t="shared" si="7"/>
        <v>3867</v>
      </c>
      <c r="J37" s="18">
        <f t="shared" si="8"/>
        <v>3867</v>
      </c>
      <c r="K37" s="18">
        <f t="shared" si="18"/>
        <v>123744</v>
      </c>
      <c r="L37" s="18">
        <f t="shared" si="9"/>
        <v>151929.74166007648</v>
      </c>
      <c r="N37" s="37">
        <f t="shared" si="14"/>
        <v>82</v>
      </c>
      <c r="O37" s="18">
        <f t="shared" si="15"/>
        <v>242248.71254722736</v>
      </c>
      <c r="P37" s="18">
        <f t="shared" si="2"/>
        <v>372690.32699573442</v>
      </c>
      <c r="Q37" s="18">
        <f t="shared" si="10"/>
        <v>130441.61444850705</v>
      </c>
      <c r="R37" s="18">
        <f t="shared" si="19"/>
        <v>7055.7877440940065</v>
      </c>
      <c r="S37" s="18">
        <f t="shared" si="17"/>
        <v>19216.462543489117</v>
      </c>
      <c r="T37" s="18">
        <f t="shared" si="16"/>
        <v>-820158.12354006968</v>
      </c>
      <c r="U37" s="18">
        <f t="shared" si="3"/>
        <v>-1214639.8941693185</v>
      </c>
      <c r="V37" s="19">
        <f t="shared" si="12"/>
        <v>1</v>
      </c>
      <c r="X37" s="38">
        <v>82</v>
      </c>
      <c r="Y37" s="6">
        <v>130441.61444850705</v>
      </c>
      <c r="Z37" s="6">
        <v>242248.71254722736</v>
      </c>
      <c r="AA37" s="6">
        <v>372690.32699573442</v>
      </c>
      <c r="AC37" s="38">
        <v>82</v>
      </c>
      <c r="AD37" s="6">
        <v>-1214639.8941693185</v>
      </c>
      <c r="AF37" s="46">
        <v>55</v>
      </c>
      <c r="AG37" s="6">
        <v>15579.67416600765</v>
      </c>
      <c r="AH37" s="6">
        <v>12463.739332806119</v>
      </c>
      <c r="AI37" s="6">
        <v>155796.74166007648</v>
      </c>
    </row>
    <row r="38" spans="3:35">
      <c r="C38" s="18">
        <f t="shared" si="13"/>
        <v>56</v>
      </c>
      <c r="D38" s="18">
        <f t="shared" si="4"/>
        <v>160470.6439098788</v>
      </c>
      <c r="E38" s="18">
        <f t="shared" si="5"/>
        <v>16047.06439098788</v>
      </c>
      <c r="F38" s="18">
        <f t="shared" si="0"/>
        <v>12837.651512790304</v>
      </c>
      <c r="G38" s="17">
        <f t="shared" si="6"/>
        <v>852772.33600636502</v>
      </c>
      <c r="H38" s="18">
        <f t="shared" si="1"/>
        <v>937484.11543058883</v>
      </c>
      <c r="I38" s="18">
        <f t="shared" si="7"/>
        <v>3867</v>
      </c>
      <c r="J38" s="18">
        <f t="shared" si="8"/>
        <v>3867</v>
      </c>
      <c r="K38" s="18">
        <f t="shared" si="18"/>
        <v>131478</v>
      </c>
      <c r="L38" s="18">
        <f t="shared" si="9"/>
        <v>156603.6439098788</v>
      </c>
      <c r="N38" s="37">
        <f t="shared" si="14"/>
        <v>83</v>
      </c>
      <c r="O38" s="18">
        <f t="shared" si="15"/>
        <v>249516.17392364418</v>
      </c>
      <c r="P38" s="18">
        <f t="shared" si="2"/>
        <v>383871.03680560639</v>
      </c>
      <c r="Q38" s="18">
        <f t="shared" si="10"/>
        <v>134354.86288196221</v>
      </c>
      <c r="R38" s="18">
        <f t="shared" si="19"/>
        <v>7267.4613764168171</v>
      </c>
      <c r="S38" s="18">
        <f t="shared" si="17"/>
        <v>19792.956419793791</v>
      </c>
      <c r="T38" s="18">
        <f t="shared" si="16"/>
        <v>-1214639.8941693185</v>
      </c>
      <c r="U38" s="18">
        <f t="shared" si="3"/>
        <v>-1639449.9692635969</v>
      </c>
      <c r="V38" s="19">
        <f t="shared" si="12"/>
        <v>1</v>
      </c>
      <c r="X38" s="38">
        <v>83</v>
      </c>
      <c r="Y38" s="6">
        <v>134354.86288196221</v>
      </c>
      <c r="Z38" s="6">
        <v>249516.17392364418</v>
      </c>
      <c r="AA38" s="6">
        <v>383871.03680560639</v>
      </c>
      <c r="AC38" s="38">
        <v>83</v>
      </c>
      <c r="AD38" s="6">
        <v>-1639449.9692635969</v>
      </c>
      <c r="AF38" s="46">
        <v>56</v>
      </c>
      <c r="AG38" s="6">
        <v>16047.06439098788</v>
      </c>
      <c r="AH38" s="6">
        <v>12837.651512790304</v>
      </c>
      <c r="AI38" s="6">
        <v>160470.6439098788</v>
      </c>
    </row>
    <row r="39" spans="3:35">
      <c r="C39" s="18">
        <f t="shared" si="13"/>
        <v>57</v>
      </c>
      <c r="D39" s="18">
        <f t="shared" si="4"/>
        <v>165284.76322717516</v>
      </c>
      <c r="E39" s="18">
        <f t="shared" si="5"/>
        <v>16528.476322717517</v>
      </c>
      <c r="F39" s="18">
        <f t="shared" si="0"/>
        <v>13222.781058174012</v>
      </c>
      <c r="G39" s="17">
        <f t="shared" si="6"/>
        <v>937484.11543058883</v>
      </c>
      <c r="H39" s="18">
        <f t="shared" si="1"/>
        <v>1028992.2608916216</v>
      </c>
      <c r="I39" s="18">
        <f t="shared" si="7"/>
        <v>3867</v>
      </c>
      <c r="J39" s="18">
        <f t="shared" si="8"/>
        <v>3867</v>
      </c>
      <c r="K39" s="18">
        <f t="shared" si="18"/>
        <v>139212</v>
      </c>
      <c r="L39" s="18">
        <f t="shared" si="9"/>
        <v>161417.76322717516</v>
      </c>
      <c r="N39" s="37">
        <f t="shared" si="14"/>
        <v>84</v>
      </c>
      <c r="O39" s="18">
        <f t="shared" si="15"/>
        <v>257001.65914135351</v>
      </c>
      <c r="P39" s="18">
        <f t="shared" si="2"/>
        <v>395387.16790977464</v>
      </c>
      <c r="Q39" s="18">
        <f t="shared" si="10"/>
        <v>138385.50876842113</v>
      </c>
      <c r="R39" s="18">
        <f t="shared" si="19"/>
        <v>7485.4852177093271</v>
      </c>
      <c r="S39" s="18">
        <f t="shared" si="17"/>
        <v>20386.745112387605</v>
      </c>
      <c r="T39" s="18">
        <f t="shared" si="16"/>
        <v>-1639449.9692635969</v>
      </c>
      <c r="U39" s="18">
        <f t="shared" si="3"/>
        <v>-2096422.8905241636</v>
      </c>
      <c r="V39" s="19">
        <f t="shared" si="12"/>
        <v>1</v>
      </c>
      <c r="X39" s="38">
        <v>84</v>
      </c>
      <c r="Y39" s="6">
        <v>138385.50876842113</v>
      </c>
      <c r="Z39" s="6">
        <v>257001.65914135351</v>
      </c>
      <c r="AA39" s="6">
        <v>395387.16790977464</v>
      </c>
      <c r="AC39" s="38">
        <v>84</v>
      </c>
      <c r="AD39" s="6">
        <v>-2096422.8905241636</v>
      </c>
      <c r="AF39" s="46">
        <v>57</v>
      </c>
      <c r="AG39" s="6">
        <v>16528.476322717517</v>
      </c>
      <c r="AH39" s="6">
        <v>13222.781058174012</v>
      </c>
      <c r="AI39" s="6">
        <v>165284.76322717516</v>
      </c>
    </row>
    <row r="40" spans="3:35">
      <c r="C40" s="18">
        <f t="shared" si="13"/>
        <v>58</v>
      </c>
      <c r="D40" s="18">
        <f t="shared" si="4"/>
        <v>170243.30612399042</v>
      </c>
      <c r="E40" s="18">
        <f t="shared" si="5"/>
        <v>17024.330612399044</v>
      </c>
      <c r="F40" s="18">
        <f t="shared" si="0"/>
        <v>13619.464489919234</v>
      </c>
      <c r="G40" s="17">
        <f t="shared" si="6"/>
        <v>1028992.2608916216</v>
      </c>
      <c r="H40" s="18">
        <f t="shared" si="1"/>
        <v>1127798.5142563535</v>
      </c>
      <c r="I40" s="18">
        <f t="shared" si="7"/>
        <v>3867</v>
      </c>
      <c r="J40" s="18">
        <f t="shared" si="8"/>
        <v>3867</v>
      </c>
      <c r="K40" s="18">
        <f t="shared" si="18"/>
        <v>146946</v>
      </c>
      <c r="L40" s="18">
        <f t="shared" si="9"/>
        <v>166376.30612399042</v>
      </c>
      <c r="N40" s="37">
        <f t="shared" si="14"/>
        <v>85</v>
      </c>
      <c r="O40" s="18">
        <f t="shared" si="15"/>
        <v>264711.70891559409</v>
      </c>
      <c r="P40" s="18">
        <f t="shared" si="2"/>
        <v>407248.78294706781</v>
      </c>
      <c r="Q40" s="18">
        <f t="shared" si="10"/>
        <v>142537.07403147372</v>
      </c>
      <c r="R40" s="18">
        <f t="shared" si="19"/>
        <v>7710.049774240586</v>
      </c>
      <c r="S40" s="18">
        <f t="shared" si="17"/>
        <v>20998.347465759234</v>
      </c>
      <c r="T40" s="18">
        <f t="shared" si="16"/>
        <v>-2096422.8905241636</v>
      </c>
      <c r="U40" s="18">
        <f t="shared" si="3"/>
        <v>-2587494.4705316802</v>
      </c>
      <c r="V40" s="19">
        <f t="shared" si="12"/>
        <v>1</v>
      </c>
      <c r="X40" s="38">
        <v>85</v>
      </c>
      <c r="Y40" s="6">
        <v>142537.07403147372</v>
      </c>
      <c r="Z40" s="6">
        <v>264711.70891559409</v>
      </c>
      <c r="AA40" s="6">
        <v>407248.78294706781</v>
      </c>
      <c r="AC40" s="38">
        <v>85</v>
      </c>
      <c r="AD40" s="6">
        <v>-2587494.4705316802</v>
      </c>
      <c r="AF40" s="46">
        <v>58</v>
      </c>
      <c r="AG40" s="6">
        <v>17024.330612399044</v>
      </c>
      <c r="AH40" s="6">
        <v>13619.464489919234</v>
      </c>
      <c r="AI40" s="6">
        <v>170243.30612399042</v>
      </c>
    </row>
    <row r="41" spans="3:35">
      <c r="C41" s="18">
        <f t="shared" si="13"/>
        <v>59</v>
      </c>
      <c r="D41" s="18">
        <f t="shared" si="4"/>
        <v>175350.60530771012</v>
      </c>
      <c r="E41" s="18">
        <f t="shared" si="5"/>
        <v>17535.060530771014</v>
      </c>
      <c r="F41" s="18">
        <f t="shared" si="0"/>
        <v>14028.048424616811</v>
      </c>
      <c r="G41" s="17">
        <f t="shared" si="6"/>
        <v>1127798.5142563535</v>
      </c>
      <c r="H41" s="18">
        <f t="shared" si="1"/>
        <v>1234440.5192096862</v>
      </c>
      <c r="I41" s="18">
        <f t="shared" si="7"/>
        <v>3867</v>
      </c>
      <c r="J41" s="18">
        <f t="shared" si="8"/>
        <v>3867</v>
      </c>
      <c r="K41" s="18">
        <f t="shared" si="18"/>
        <v>154680</v>
      </c>
      <c r="L41" s="18">
        <f t="shared" si="9"/>
        <v>171483.60530771012</v>
      </c>
      <c r="N41" s="37">
        <f t="shared" si="14"/>
        <v>86</v>
      </c>
      <c r="O41" s="18">
        <f t="shared" si="15"/>
        <v>272653.06018306193</v>
      </c>
      <c r="P41" s="18">
        <f t="shared" si="2"/>
        <v>419466.2464354799</v>
      </c>
      <c r="Q41" s="18">
        <f t="shared" si="10"/>
        <v>146813.18625241797</v>
      </c>
      <c r="R41" s="18">
        <f t="shared" si="19"/>
        <v>7941.351267467835</v>
      </c>
      <c r="S41" s="18">
        <f t="shared" si="17"/>
        <v>21628.297889732014</v>
      </c>
      <c r="T41" s="18">
        <f t="shared" si="16"/>
        <v>-2587494.4705316802</v>
      </c>
      <c r="U41" s="18">
        <f t="shared" si="3"/>
        <v>-3114707.142604012</v>
      </c>
      <c r="V41" s="19">
        <f t="shared" si="12"/>
        <v>1</v>
      </c>
      <c r="X41" s="38">
        <v>86</v>
      </c>
      <c r="Y41" s="6">
        <v>146813.18625241797</v>
      </c>
      <c r="Z41" s="6">
        <v>272653.06018306193</v>
      </c>
      <c r="AA41" s="6">
        <v>419466.2464354799</v>
      </c>
      <c r="AC41" s="38">
        <v>86</v>
      </c>
      <c r="AD41" s="6">
        <v>-3114707.142604012</v>
      </c>
      <c r="AF41" s="46">
        <v>59</v>
      </c>
      <c r="AG41" s="6">
        <v>17535.060530771014</v>
      </c>
      <c r="AH41" s="6">
        <v>14028.048424616811</v>
      </c>
      <c r="AI41" s="6">
        <v>175350.60530771012</v>
      </c>
    </row>
    <row r="42" spans="3:35">
      <c r="C42" s="18">
        <f t="shared" si="13"/>
        <v>60</v>
      </c>
      <c r="D42" s="18">
        <f t="shared" si="4"/>
        <v>180611.12346694144</v>
      </c>
      <c r="E42" s="18">
        <f t="shared" si="5"/>
        <v>18061.112346694146</v>
      </c>
      <c r="F42" s="18">
        <f t="shared" si="0"/>
        <v>14448.889877355316</v>
      </c>
      <c r="G42" s="17">
        <f t="shared" si="6"/>
        <v>1234440.5192096862</v>
      </c>
      <c r="H42" s="18">
        <f t="shared" si="1"/>
        <v>1349494.3577784139</v>
      </c>
      <c r="I42" s="18">
        <f t="shared" si="7"/>
        <v>3867</v>
      </c>
      <c r="J42" s="18">
        <f t="shared" si="8"/>
        <v>3867</v>
      </c>
      <c r="K42" s="18">
        <f t="shared" si="18"/>
        <v>162414</v>
      </c>
      <c r="L42" s="18">
        <f t="shared" si="9"/>
        <v>176744.12346694144</v>
      </c>
      <c r="N42" s="37">
        <f t="shared" si="14"/>
        <v>87</v>
      </c>
      <c r="O42" s="18">
        <f t="shared" si="15"/>
        <v>280832.65198855381</v>
      </c>
      <c r="P42" s="18">
        <f t="shared" si="2"/>
        <v>432050.23382854433</v>
      </c>
      <c r="Q42" s="18">
        <f t="shared" si="10"/>
        <v>151217.58183999051</v>
      </c>
      <c r="R42" s="18">
        <f t="shared" si="19"/>
        <v>8179.5918054918875</v>
      </c>
      <c r="S42" s="18">
        <f t="shared" si="17"/>
        <v>22277.146826423974</v>
      </c>
      <c r="T42" s="18">
        <f t="shared" si="16"/>
        <v>-3114707.142604012</v>
      </c>
      <c r="U42" s="18">
        <f t="shared" si="3"/>
        <v>-3680215.5867363326</v>
      </c>
      <c r="V42" s="19">
        <f t="shared" si="12"/>
        <v>1</v>
      </c>
      <c r="X42" s="38">
        <v>87</v>
      </c>
      <c r="Y42" s="6">
        <v>151217.58183999051</v>
      </c>
      <c r="Z42" s="6">
        <v>280832.65198855381</v>
      </c>
      <c r="AA42" s="6">
        <v>432050.23382854433</v>
      </c>
      <c r="AC42" s="38">
        <v>87</v>
      </c>
      <c r="AD42" s="6">
        <v>-3680215.5867363326</v>
      </c>
      <c r="AF42" s="46">
        <v>60</v>
      </c>
      <c r="AG42" s="6">
        <v>18061.112346694146</v>
      </c>
      <c r="AH42" s="6">
        <v>14448.889877355316</v>
      </c>
      <c r="AI42" s="6">
        <v>180611.12346694144</v>
      </c>
    </row>
    <row r="43" spans="3:35">
      <c r="C43" s="18">
        <f t="shared" si="13"/>
        <v>61</v>
      </c>
      <c r="D43" s="18">
        <f t="shared" si="4"/>
        <v>186029.4571709497</v>
      </c>
      <c r="E43" s="18">
        <f t="shared" si="5"/>
        <v>18602.945717094972</v>
      </c>
      <c r="F43" s="18">
        <f t="shared" si="0"/>
        <v>14882.356573675976</v>
      </c>
      <c r="G43" s="17">
        <f t="shared" si="6"/>
        <v>1349494.3577784139</v>
      </c>
      <c r="H43" s="18">
        <f t="shared" si="1"/>
        <v>1473577.2651136739</v>
      </c>
      <c r="I43" s="18">
        <f t="shared" si="7"/>
        <v>3867</v>
      </c>
      <c r="J43" s="18">
        <f t="shared" si="8"/>
        <v>3867</v>
      </c>
      <c r="K43" s="18">
        <f t="shared" si="18"/>
        <v>170148</v>
      </c>
      <c r="L43" s="18">
        <f t="shared" si="9"/>
        <v>182162.4571709497</v>
      </c>
      <c r="N43" s="37">
        <f t="shared" si="14"/>
        <v>88</v>
      </c>
      <c r="O43" s="18">
        <f t="shared" si="15"/>
        <v>289257.63154821045</v>
      </c>
      <c r="P43" s="18">
        <f t="shared" si="2"/>
        <v>445011.74084340071</v>
      </c>
      <c r="Q43" s="18">
        <f t="shared" si="10"/>
        <v>155754.10929519025</v>
      </c>
      <c r="R43" s="18">
        <f t="shared" si="19"/>
        <v>8424.97955965664</v>
      </c>
      <c r="S43" s="18">
        <f t="shared" si="17"/>
        <v>22945.461231216694</v>
      </c>
      <c r="T43" s="18">
        <f t="shared" si="16"/>
        <v>-3680215.5867363326</v>
      </c>
      <c r="U43" s="18">
        <f t="shared" si="3"/>
        <v>-4286292.6456853328</v>
      </c>
      <c r="V43" s="19">
        <f t="shared" si="12"/>
        <v>1</v>
      </c>
      <c r="X43" s="38">
        <v>88</v>
      </c>
      <c r="Y43" s="6">
        <v>155754.10929519025</v>
      </c>
      <c r="Z43" s="6">
        <v>289257.63154821045</v>
      </c>
      <c r="AA43" s="6">
        <v>445011.74084340071</v>
      </c>
      <c r="AC43" s="38">
        <v>88</v>
      </c>
      <c r="AD43" s="6">
        <v>-4286292.6456853328</v>
      </c>
      <c r="AF43" s="46">
        <v>61</v>
      </c>
      <c r="AG43" s="6">
        <v>18602.945717094972</v>
      </c>
      <c r="AH43" s="6">
        <v>14882.356573675976</v>
      </c>
      <c r="AI43" s="6">
        <v>186029.4571709497</v>
      </c>
    </row>
    <row r="44" spans="3:35">
      <c r="C44" s="18">
        <f t="shared" si="13"/>
        <v>62</v>
      </c>
      <c r="D44" s="18">
        <f t="shared" si="4"/>
        <v>191610.34088607819</v>
      </c>
      <c r="E44" s="18">
        <f t="shared" si="5"/>
        <v>19161.034088607819</v>
      </c>
      <c r="F44" s="18">
        <f t="shared" si="0"/>
        <v>15328.827270886255</v>
      </c>
      <c r="G44" s="17">
        <f t="shared" si="6"/>
        <v>1473577.2651136739</v>
      </c>
      <c r="H44" s="18">
        <f t="shared" si="1"/>
        <v>1607350.5350311252</v>
      </c>
      <c r="I44" s="18">
        <f t="shared" si="7"/>
        <v>3867</v>
      </c>
      <c r="J44" s="18">
        <f t="shared" si="8"/>
        <v>3867</v>
      </c>
      <c r="K44" s="18">
        <f t="shared" si="18"/>
        <v>177882</v>
      </c>
      <c r="L44" s="18">
        <f t="shared" si="9"/>
        <v>187743.34088607819</v>
      </c>
      <c r="N44" s="37">
        <f t="shared" si="14"/>
        <v>89</v>
      </c>
      <c r="O44" s="18">
        <f t="shared" si="15"/>
        <v>297935.36049465678</v>
      </c>
      <c r="P44" s="18">
        <f t="shared" si="2"/>
        <v>458362.09306870273</v>
      </c>
      <c r="Q44" s="18">
        <f t="shared" si="10"/>
        <v>160426.73257404595</v>
      </c>
      <c r="R44" s="18">
        <f t="shared" si="19"/>
        <v>8677.7289464463247</v>
      </c>
      <c r="S44" s="18">
        <f t="shared" si="17"/>
        <v>23633.825068153194</v>
      </c>
      <c r="T44" s="18">
        <f t="shared" si="16"/>
        <v>-4286292.6456853328</v>
      </c>
      <c r="U44" s="18">
        <f t="shared" si="3"/>
        <v>-4935335.5459701493</v>
      </c>
      <c r="V44" s="19">
        <f t="shared" si="12"/>
        <v>1</v>
      </c>
      <c r="X44" s="38">
        <v>89</v>
      </c>
      <c r="Y44" s="6">
        <v>160426.73257404595</v>
      </c>
      <c r="Z44" s="6">
        <v>297935.36049465678</v>
      </c>
      <c r="AA44" s="6">
        <v>458362.09306870273</v>
      </c>
      <c r="AC44" s="38">
        <v>89</v>
      </c>
      <c r="AD44" s="6">
        <v>-4935335.5459701493</v>
      </c>
      <c r="AF44" s="46">
        <v>62</v>
      </c>
      <c r="AG44" s="6">
        <v>19161.034088607819</v>
      </c>
      <c r="AH44" s="6">
        <v>15328.827270886255</v>
      </c>
      <c r="AI44" s="6">
        <v>191610.34088607819</v>
      </c>
    </row>
    <row r="45" spans="3:35">
      <c r="C45" s="18">
        <f t="shared" si="13"/>
        <v>63</v>
      </c>
      <c r="D45" s="18">
        <f t="shared" si="4"/>
        <v>197358.65111266053</v>
      </c>
      <c r="E45" s="18">
        <f t="shared" si="5"/>
        <v>19735.865111266055</v>
      </c>
      <c r="F45" s="18">
        <f t="shared" si="0"/>
        <v>15788.692089012842</v>
      </c>
      <c r="G45" s="17">
        <f t="shared" si="6"/>
        <v>1607350.5350311252</v>
      </c>
      <c r="H45" s="18">
        <f t="shared" si="1"/>
        <v>1751522.6296835828</v>
      </c>
      <c r="I45" s="18">
        <f t="shared" si="7"/>
        <v>3867</v>
      </c>
      <c r="J45" s="18">
        <f t="shared" si="8"/>
        <v>3867</v>
      </c>
      <c r="K45" s="18">
        <f t="shared" si="18"/>
        <v>185616</v>
      </c>
      <c r="L45" s="18">
        <f t="shared" si="9"/>
        <v>193491.65111266053</v>
      </c>
      <c r="N45" s="37">
        <f t="shared" si="14"/>
        <v>90</v>
      </c>
      <c r="O45" s="18">
        <f t="shared" si="15"/>
        <v>306873.42130949651</v>
      </c>
      <c r="P45" s="18">
        <f t="shared" si="2"/>
        <v>472112.95586076385</v>
      </c>
      <c r="Q45" s="18">
        <f t="shared" si="10"/>
        <v>165239.53455126734</v>
      </c>
      <c r="R45" s="18">
        <f t="shared" si="19"/>
        <v>8938.0608148397296</v>
      </c>
      <c r="S45" s="18">
        <f t="shared" si="17"/>
        <v>24342.839820197791</v>
      </c>
      <c r="T45" s="18">
        <f t="shared" si="16"/>
        <v>-4935335.5459701493</v>
      </c>
      <c r="U45" s="18">
        <f t="shared" si="3"/>
        <v>-5629872.4393092226</v>
      </c>
      <c r="V45" s="19">
        <f t="shared" si="12"/>
        <v>1</v>
      </c>
      <c r="X45" s="38">
        <v>90</v>
      </c>
      <c r="Y45" s="6">
        <v>165239.53455126734</v>
      </c>
      <c r="Z45" s="6">
        <v>306873.42130949651</v>
      </c>
      <c r="AA45" s="6">
        <v>472112.95586076385</v>
      </c>
      <c r="AC45" s="38">
        <v>90</v>
      </c>
      <c r="AD45" s="6">
        <v>-5629872.4393092226</v>
      </c>
      <c r="AF45" s="46">
        <v>63</v>
      </c>
      <c r="AG45" s="6">
        <v>19735.865111266055</v>
      </c>
      <c r="AH45" s="6">
        <v>15788.692089012842</v>
      </c>
      <c r="AI45" s="6">
        <v>197358.65111266053</v>
      </c>
    </row>
    <row r="46" spans="3:35">
      <c r="C46" s="18">
        <f t="shared" si="13"/>
        <v>64</v>
      </c>
      <c r="D46" s="18">
        <f t="shared" si="4"/>
        <v>203279.41064604034</v>
      </c>
      <c r="E46" s="18">
        <f t="shared" si="5"/>
        <v>20327.941064604034</v>
      </c>
      <c r="F46" s="18">
        <f t="shared" si="0"/>
        <v>16262.352851683227</v>
      </c>
      <c r="G46" s="17">
        <f t="shared" si="6"/>
        <v>1751522.6296835828</v>
      </c>
      <c r="H46" s="18">
        <f t="shared" si="1"/>
        <v>1906852.5076777211</v>
      </c>
      <c r="I46" s="18">
        <f t="shared" si="7"/>
        <v>3867</v>
      </c>
      <c r="J46" s="18">
        <f t="shared" si="8"/>
        <v>3867</v>
      </c>
      <c r="K46" s="18">
        <f t="shared" si="18"/>
        <v>193350</v>
      </c>
      <c r="L46" s="18">
        <f t="shared" si="9"/>
        <v>199412.41064604034</v>
      </c>
      <c r="N46" s="37">
        <f t="shared" si="14"/>
        <v>91</v>
      </c>
      <c r="O46" s="18">
        <f t="shared" si="15"/>
        <v>316079.6239487814</v>
      </c>
      <c r="P46" s="18">
        <f t="shared" si="2"/>
        <v>486276.34453658678</v>
      </c>
      <c r="Q46" s="18">
        <f t="shared" si="10"/>
        <v>170196.72058780538</v>
      </c>
      <c r="R46" s="18">
        <f t="shared" si="19"/>
        <v>9206.2026392848929</v>
      </c>
      <c r="S46" s="18">
        <f t="shared" si="17"/>
        <v>25073.125014803725</v>
      </c>
      <c r="T46" s="18">
        <f t="shared" si="16"/>
        <v>-5629872.4393092226</v>
      </c>
      <c r="U46" s="18">
        <f t="shared" si="3"/>
        <v>-6372569.2807964673</v>
      </c>
      <c r="V46" s="19">
        <f t="shared" si="12"/>
        <v>1</v>
      </c>
      <c r="X46" s="38">
        <v>91</v>
      </c>
      <c r="Y46" s="6">
        <v>170196.72058780538</v>
      </c>
      <c r="Z46" s="6">
        <v>316079.6239487814</v>
      </c>
      <c r="AA46" s="6">
        <v>486276.34453658678</v>
      </c>
      <c r="AC46" s="38">
        <v>91</v>
      </c>
      <c r="AD46" s="6">
        <v>-6372569.2807964673</v>
      </c>
      <c r="AF46" s="46">
        <v>64</v>
      </c>
      <c r="AG46" s="6">
        <v>20327.941064604034</v>
      </c>
      <c r="AH46" s="6">
        <v>16262.352851683227</v>
      </c>
      <c r="AI46" s="6">
        <v>203279.41064604034</v>
      </c>
    </row>
    <row r="47" spans="3:35">
      <c r="C47" s="18">
        <f t="shared" si="13"/>
        <v>65</v>
      </c>
      <c r="D47" s="18">
        <f t="shared" si="4"/>
        <v>209377.79296542157</v>
      </c>
      <c r="E47" s="18">
        <f t="shared" si="5"/>
        <v>20937.779296542158</v>
      </c>
      <c r="F47" s="18">
        <f t="shared" si="0"/>
        <v>16750.223437233726</v>
      </c>
      <c r="G47" s="17">
        <f t="shared" si="6"/>
        <v>1906852.5076777211</v>
      </c>
      <c r="H47" s="18">
        <f t="shared" si="1"/>
        <v>2074153.1859489377</v>
      </c>
      <c r="I47" s="18">
        <f t="shared" si="7"/>
        <v>3867</v>
      </c>
      <c r="J47" s="18">
        <f t="shared" si="8"/>
        <v>3867</v>
      </c>
      <c r="K47" s="18">
        <f t="shared" si="18"/>
        <v>201084</v>
      </c>
      <c r="L47" s="18">
        <f t="shared" si="9"/>
        <v>205510.79296542157</v>
      </c>
      <c r="N47" s="37">
        <f t="shared" si="14"/>
        <v>92</v>
      </c>
      <c r="O47" s="18">
        <f t="shared" si="15"/>
        <v>325562.01266724482</v>
      </c>
      <c r="P47" s="18">
        <f t="shared" si="2"/>
        <v>500864.63487268431</v>
      </c>
      <c r="Q47" s="18">
        <f t="shared" si="10"/>
        <v>175302.62220543949</v>
      </c>
      <c r="R47" s="18">
        <f t="shared" si="19"/>
        <v>9482.3887184634223</v>
      </c>
      <c r="S47" s="18">
        <f t="shared" si="17"/>
        <v>25825.318765247837</v>
      </c>
      <c r="T47" s="18">
        <f t="shared" si="16"/>
        <v>-6372569.2807964673</v>
      </c>
      <c r="U47" s="18">
        <f t="shared" si="3"/>
        <v>-7166237.0609437274</v>
      </c>
      <c r="V47" s="19">
        <f t="shared" si="12"/>
        <v>1</v>
      </c>
      <c r="X47" s="38">
        <v>92</v>
      </c>
      <c r="Y47" s="6">
        <v>175302.62220543949</v>
      </c>
      <c r="Z47" s="6">
        <v>325562.01266724482</v>
      </c>
      <c r="AA47" s="6">
        <v>500864.63487268431</v>
      </c>
      <c r="AC47" s="38">
        <v>92</v>
      </c>
      <c r="AD47" s="6">
        <v>-7166237.0609437274</v>
      </c>
      <c r="AF47" s="46">
        <v>65</v>
      </c>
      <c r="AG47" s="6">
        <v>20937.779296542158</v>
      </c>
      <c r="AH47" s="6">
        <v>16750.223437233726</v>
      </c>
      <c r="AI47" s="6">
        <v>209377.79296542157</v>
      </c>
    </row>
    <row r="48" spans="3:35">
      <c r="C48" s="18">
        <f t="shared" si="13"/>
        <v>66</v>
      </c>
      <c r="D48" s="18">
        <f t="shared" si="4"/>
        <v>215659.12675438423</v>
      </c>
      <c r="E48" s="18">
        <f t="shared" si="5"/>
        <v>21565.912675438423</v>
      </c>
      <c r="F48" s="18">
        <f t="shared" si="0"/>
        <v>17252.730140350737</v>
      </c>
      <c r="G48" s="17">
        <f t="shared" si="6"/>
        <v>2074153.1859489377</v>
      </c>
      <c r="H48" s="18">
        <f t="shared" si="1"/>
        <v>2254295.5517811528</v>
      </c>
      <c r="I48" s="18">
        <f t="shared" si="7"/>
        <v>3867</v>
      </c>
      <c r="J48" s="18">
        <f t="shared" si="8"/>
        <v>3867</v>
      </c>
      <c r="K48" s="18">
        <f t="shared" si="18"/>
        <v>208818</v>
      </c>
      <c r="L48" s="18">
        <f t="shared" si="9"/>
        <v>211792.12675438423</v>
      </c>
      <c r="N48" s="37">
        <f t="shared" si="14"/>
        <v>93</v>
      </c>
      <c r="O48" s="18">
        <f t="shared" si="15"/>
        <v>335328.8730472622</v>
      </c>
      <c r="P48" s="18">
        <f t="shared" si="2"/>
        <v>515890.57391886489</v>
      </c>
      <c r="Q48" s="18">
        <f t="shared" si="10"/>
        <v>180561.70087160269</v>
      </c>
      <c r="R48" s="18">
        <f t="shared" si="19"/>
        <v>9766.8603800173732</v>
      </c>
      <c r="S48" s="18">
        <f t="shared" si="17"/>
        <v>26600.078328205273</v>
      </c>
      <c r="T48" s="18">
        <f t="shared" si="16"/>
        <v>-7166237.0609437274</v>
      </c>
      <c r="U48" s="18">
        <f t="shared" si="3"/>
        <v>-8013839.4095815737</v>
      </c>
      <c r="V48" s="19">
        <f t="shared" si="12"/>
        <v>1</v>
      </c>
      <c r="X48" s="38">
        <v>93</v>
      </c>
      <c r="Y48" s="6">
        <v>180561.70087160269</v>
      </c>
      <c r="Z48" s="6">
        <v>335328.8730472622</v>
      </c>
      <c r="AA48" s="6">
        <v>515890.57391886489</v>
      </c>
      <c r="AC48" s="38">
        <v>93</v>
      </c>
      <c r="AD48" s="6">
        <v>-8013839.4095815737</v>
      </c>
      <c r="AF48" s="46">
        <v>66</v>
      </c>
      <c r="AG48" s="6">
        <v>21565.912675438423</v>
      </c>
      <c r="AH48" s="6">
        <v>17252.730140350737</v>
      </c>
      <c r="AI48" s="6">
        <v>215659.12675438423</v>
      </c>
    </row>
    <row r="49" spans="3:35">
      <c r="C49" s="18">
        <f t="shared" si="13"/>
        <v>67</v>
      </c>
      <c r="D49" s="18">
        <f t="shared" si="4"/>
        <v>222128.90055701576</v>
      </c>
      <c r="E49" s="18">
        <f t="shared" si="5"/>
        <v>22212.890055701577</v>
      </c>
      <c r="F49" s="18">
        <f t="shared" si="0"/>
        <v>17770.312044561262</v>
      </c>
      <c r="G49" s="17">
        <f t="shared" si="6"/>
        <v>2254295.5517811528</v>
      </c>
      <c r="H49" s="18">
        <f t="shared" si="1"/>
        <v>2448212.4425060968</v>
      </c>
      <c r="I49" s="18">
        <f t="shared" si="7"/>
        <v>3867</v>
      </c>
      <c r="J49" s="18">
        <f t="shared" si="8"/>
        <v>3867</v>
      </c>
      <c r="K49" s="18">
        <f t="shared" si="18"/>
        <v>216552</v>
      </c>
      <c r="L49" s="18">
        <f t="shared" si="9"/>
        <v>218261.90055701576</v>
      </c>
      <c r="N49" s="37">
        <f t="shared" si="14"/>
        <v>94</v>
      </c>
      <c r="O49" s="18">
        <f t="shared" si="15"/>
        <v>345388.73923868005</v>
      </c>
      <c r="P49" s="18">
        <f t="shared" si="2"/>
        <v>531367.29113643081</v>
      </c>
      <c r="Q49" s="18">
        <f t="shared" si="10"/>
        <v>185978.55189775076</v>
      </c>
      <c r="R49" s="18">
        <f t="shared" si="19"/>
        <v>10059.866191417852</v>
      </c>
      <c r="S49" s="18">
        <f t="shared" si="17"/>
        <v>27398.080678051432</v>
      </c>
      <c r="T49" s="18">
        <f t="shared" si="16"/>
        <v>-8013839.4095815737</v>
      </c>
      <c r="U49" s="18">
        <f t="shared" si="3"/>
        <v>-8918500.5905190315</v>
      </c>
      <c r="V49" s="19">
        <f t="shared" si="12"/>
        <v>1</v>
      </c>
      <c r="X49" s="38">
        <v>94</v>
      </c>
      <c r="Y49" s="6">
        <v>185978.55189775076</v>
      </c>
      <c r="Z49" s="6">
        <v>345388.73923868005</v>
      </c>
      <c r="AA49" s="6">
        <v>531367.29113643081</v>
      </c>
      <c r="AC49" s="38">
        <v>94</v>
      </c>
      <c r="AD49" s="6">
        <v>-8918500.5905190315</v>
      </c>
      <c r="AF49" s="46">
        <v>67</v>
      </c>
      <c r="AG49" s="6">
        <v>22212.890055701577</v>
      </c>
      <c r="AH49" s="6">
        <v>17770.312044561262</v>
      </c>
      <c r="AI49" s="6">
        <v>222128.90055701576</v>
      </c>
    </row>
    <row r="50" spans="3:35">
      <c r="C50" s="18">
        <f t="shared" si="13"/>
        <v>68</v>
      </c>
      <c r="D50" s="18">
        <f t="shared" si="4"/>
        <v>228792.76757372625</v>
      </c>
      <c r="E50" s="18">
        <f t="shared" si="5"/>
        <v>22879.276757372627</v>
      </c>
      <c r="F50" s="18">
        <f t="shared" si="0"/>
        <v>18303.421405898102</v>
      </c>
      <c r="G50" s="17">
        <f t="shared" si="6"/>
        <v>2448212.4425060968</v>
      </c>
      <c r="H50" s="18">
        <f t="shared" si="1"/>
        <v>2656903.0116447941</v>
      </c>
      <c r="I50" s="18">
        <f t="shared" si="7"/>
        <v>3867</v>
      </c>
      <c r="J50" s="18">
        <f t="shared" si="8"/>
        <v>3867</v>
      </c>
      <c r="K50" s="18">
        <f t="shared" si="18"/>
        <v>224286</v>
      </c>
      <c r="L50" s="18">
        <f t="shared" si="9"/>
        <v>224925.76757372625</v>
      </c>
      <c r="N50" s="37">
        <f t="shared" si="14"/>
        <v>95</v>
      </c>
      <c r="O50" s="18">
        <f t="shared" si="15"/>
        <v>355750.40141584043</v>
      </c>
      <c r="P50" s="18">
        <f t="shared" si="2"/>
        <v>547308.30987052375</v>
      </c>
      <c r="Q50" s="18">
        <f t="shared" si="10"/>
        <v>191557.90845468332</v>
      </c>
      <c r="R50" s="18">
        <f t="shared" si="19"/>
        <v>10361.662177160382</v>
      </c>
      <c r="S50" s="18">
        <f t="shared" si="17"/>
        <v>28220.023098392976</v>
      </c>
      <c r="T50" s="18">
        <f t="shared" si="16"/>
        <v>-8918500.5905190315</v>
      </c>
      <c r="U50" s="18">
        <f t="shared" si="3"/>
        <v>-9883513.9068171158</v>
      </c>
      <c r="V50" s="19">
        <f t="shared" si="12"/>
        <v>1</v>
      </c>
      <c r="X50" s="38">
        <v>95</v>
      </c>
      <c r="Y50" s="6">
        <v>191557.90845468332</v>
      </c>
      <c r="Z50" s="6">
        <v>355750.40141584043</v>
      </c>
      <c r="AA50" s="6">
        <v>547308.30987052375</v>
      </c>
      <c r="AC50" s="38">
        <v>95</v>
      </c>
      <c r="AD50" s="6">
        <v>-9883513.9068171158</v>
      </c>
      <c r="AF50" s="46">
        <v>68</v>
      </c>
      <c r="AG50" s="6">
        <v>22879.276757372627</v>
      </c>
      <c r="AH50" s="6">
        <v>18303.421405898102</v>
      </c>
      <c r="AI50" s="6">
        <v>228792.76757372625</v>
      </c>
    </row>
    <row r="51" spans="3:35">
      <c r="C51" s="18">
        <f t="shared" si="13"/>
        <v>69</v>
      </c>
      <c r="D51" s="18">
        <f t="shared" si="4"/>
        <v>235656.55060093803</v>
      </c>
      <c r="E51" s="18">
        <f t="shared" si="5"/>
        <v>23565.655060093806</v>
      </c>
      <c r="F51" s="18">
        <f t="shared" si="0"/>
        <v>18852.524048075044</v>
      </c>
      <c r="G51" s="17">
        <f t="shared" si="6"/>
        <v>2656903.0116447941</v>
      </c>
      <c r="H51" s="18">
        <f t="shared" si="1"/>
        <v>2881437.4015680989</v>
      </c>
      <c r="I51" s="18">
        <f t="shared" si="7"/>
        <v>3867</v>
      </c>
      <c r="J51" s="18">
        <f t="shared" si="8"/>
        <v>3867</v>
      </c>
      <c r="K51" s="18">
        <f t="shared" si="18"/>
        <v>232020</v>
      </c>
      <c r="L51" s="18">
        <f t="shared" si="9"/>
        <v>231789.55060093803</v>
      </c>
      <c r="N51" s="37">
        <f t="shared" si="14"/>
        <v>96</v>
      </c>
      <c r="O51" s="18">
        <f t="shared" si="15"/>
        <v>366422.91345831566</v>
      </c>
      <c r="P51" s="18">
        <f t="shared" si="2"/>
        <v>563727.55916663946</v>
      </c>
      <c r="Q51" s="18">
        <f t="shared" si="10"/>
        <v>197304.64570832381</v>
      </c>
      <c r="R51" s="18">
        <f t="shared" si="19"/>
        <v>10672.512042475224</v>
      </c>
      <c r="S51" s="18">
        <f t="shared" si="17"/>
        <v>29066.623791344766</v>
      </c>
      <c r="T51" s="18">
        <f t="shared" si="16"/>
        <v>-9883513.9068171158</v>
      </c>
      <c r="U51" s="18">
        <f t="shared" si="3"/>
        <v>-10912350.537533268</v>
      </c>
      <c r="V51" s="19">
        <f t="shared" si="12"/>
        <v>1</v>
      </c>
      <c r="X51" s="38">
        <v>96</v>
      </c>
      <c r="Y51" s="6">
        <v>197304.64570832381</v>
      </c>
      <c r="Z51" s="6">
        <v>366422.91345831566</v>
      </c>
      <c r="AA51" s="6">
        <v>563727.55916663946</v>
      </c>
      <c r="AC51" s="38">
        <v>96</v>
      </c>
      <c r="AD51" s="6">
        <v>-10912350.537533268</v>
      </c>
      <c r="AF51" s="46">
        <v>69</v>
      </c>
      <c r="AG51" s="6">
        <v>23565.655060093806</v>
      </c>
      <c r="AH51" s="6">
        <v>18852.524048075044</v>
      </c>
      <c r="AI51" s="6">
        <v>235656.55060093803</v>
      </c>
    </row>
    <row r="52" spans="3:35">
      <c r="C52" s="18">
        <f t="shared" si="13"/>
        <v>70</v>
      </c>
      <c r="D52" s="18">
        <f t="shared" si="4"/>
        <v>242726.24711896619</v>
      </c>
      <c r="E52" s="18">
        <f t="shared" si="5"/>
        <v>24272.62471189662</v>
      </c>
      <c r="F52" s="18">
        <f t="shared" si="0"/>
        <v>19418.099769517295</v>
      </c>
      <c r="G52" s="17">
        <f t="shared" si="6"/>
        <v>2881437.4015680989</v>
      </c>
      <c r="H52" s="18">
        <f t="shared" si="1"/>
        <v>3122961.7441592803</v>
      </c>
      <c r="I52" s="18">
        <f t="shared" si="7"/>
        <v>3867</v>
      </c>
      <c r="J52" s="18">
        <f t="shared" si="8"/>
        <v>3867</v>
      </c>
      <c r="K52" s="18">
        <f t="shared" si="18"/>
        <v>239754</v>
      </c>
      <c r="L52" s="18">
        <f t="shared" si="9"/>
        <v>238859.24711896619</v>
      </c>
      <c r="N52" s="37">
        <f t="shared" si="14"/>
        <v>97</v>
      </c>
      <c r="O52" s="18">
        <f t="shared" si="15"/>
        <v>377415.60086206516</v>
      </c>
      <c r="P52" s="18">
        <f t="shared" si="2"/>
        <v>580639.38594163873</v>
      </c>
      <c r="Q52" s="18">
        <f t="shared" si="10"/>
        <v>203223.78507957357</v>
      </c>
      <c r="R52" s="18">
        <f t="shared" si="19"/>
        <v>10992.6874037495</v>
      </c>
      <c r="S52" s="18">
        <f t="shared" si="17"/>
        <v>29938.62250508511</v>
      </c>
      <c r="T52" s="18">
        <f t="shared" si="16"/>
        <v>-10912350.537533268</v>
      </c>
      <c r="U52" s="18">
        <f t="shared" si="3"/>
        <v>-12008668.827846486</v>
      </c>
      <c r="V52" s="19">
        <f t="shared" si="12"/>
        <v>1</v>
      </c>
      <c r="X52" s="38">
        <v>97</v>
      </c>
      <c r="Y52" s="6">
        <v>203223.78507957357</v>
      </c>
      <c r="Z52" s="6">
        <v>377415.60086206516</v>
      </c>
      <c r="AA52" s="6">
        <v>580639.38594163873</v>
      </c>
      <c r="AC52" s="38">
        <v>97</v>
      </c>
      <c r="AD52" s="6">
        <v>-12008668.827846486</v>
      </c>
      <c r="AF52" s="46">
        <v>70</v>
      </c>
      <c r="AG52" s="6">
        <v>24272.62471189662</v>
      </c>
      <c r="AH52" s="6">
        <v>19418.099769517295</v>
      </c>
      <c r="AI52" s="6">
        <v>242726.24711896619</v>
      </c>
    </row>
    <row r="53" spans="3:35">
      <c r="C53" s="18">
        <f t="shared" si="13"/>
        <v>71</v>
      </c>
      <c r="D53" s="18">
        <f t="shared" si="4"/>
        <v>250008.03453253518</v>
      </c>
      <c r="E53" s="18">
        <f t="shared" si="5"/>
        <v>25000.80345325352</v>
      </c>
      <c r="F53" s="18">
        <f t="shared" si="0"/>
        <v>20000.642762602816</v>
      </c>
      <c r="G53" s="17">
        <f t="shared" si="6"/>
        <v>3122961.7441592803</v>
      </c>
      <c r="H53" s="18">
        <f t="shared" si="1"/>
        <v>3382703.5124662863</v>
      </c>
      <c r="I53" s="18">
        <f t="shared" si="7"/>
        <v>3867</v>
      </c>
      <c r="J53" s="18">
        <f t="shared" si="8"/>
        <v>3867</v>
      </c>
      <c r="K53" s="18">
        <f t="shared" si="18"/>
        <v>247488</v>
      </c>
      <c r="L53" s="18">
        <f t="shared" si="9"/>
        <v>246141.03453253518</v>
      </c>
      <c r="N53" s="37">
        <f t="shared" si="14"/>
        <v>98</v>
      </c>
      <c r="O53" s="18">
        <f t="shared" si="15"/>
        <v>388738.0688879271</v>
      </c>
      <c r="P53" s="18">
        <f t="shared" si="2"/>
        <v>598058.56751988782</v>
      </c>
      <c r="Q53" s="18">
        <f t="shared" si="10"/>
        <v>209320.49863196071</v>
      </c>
      <c r="R53" s="18">
        <f t="shared" si="19"/>
        <v>11322.468025861948</v>
      </c>
      <c r="S53" s="18">
        <f t="shared" si="17"/>
        <v>30836.781180237664</v>
      </c>
      <c r="T53" s="18">
        <f t="shared" si="16"/>
        <v>-12008668.827846486</v>
      </c>
      <c r="U53" s="18">
        <f t="shared" si="3"/>
        <v>-13176324.055578461</v>
      </c>
      <c r="V53" s="19">
        <f t="shared" si="12"/>
        <v>1</v>
      </c>
      <c r="X53" s="38">
        <v>98</v>
      </c>
      <c r="Y53" s="6">
        <v>209320.49863196071</v>
      </c>
      <c r="Z53" s="6">
        <v>388738.0688879271</v>
      </c>
      <c r="AA53" s="6">
        <v>598058.56751988782</v>
      </c>
      <c r="AC53" s="38">
        <v>98</v>
      </c>
      <c r="AD53" s="6">
        <v>-13176324.055578461</v>
      </c>
      <c r="AF53" s="46">
        <v>71</v>
      </c>
      <c r="AG53" s="6">
        <v>25000.80345325352</v>
      </c>
      <c r="AH53" s="6">
        <v>20000.642762602816</v>
      </c>
      <c r="AI53" s="6">
        <v>250008.03453253518</v>
      </c>
    </row>
    <row r="54" spans="3:35">
      <c r="C54" s="18">
        <f t="shared" si="13"/>
        <v>72</v>
      </c>
      <c r="D54" s="18">
        <f t="shared" si="4"/>
        <v>257508.27556851125</v>
      </c>
      <c r="E54" s="18">
        <f t="shared" si="5"/>
        <v>25750.827556851127</v>
      </c>
      <c r="F54" s="18">
        <f t="shared" ref="F54:F81" si="20">D54*Bob_Savings_Rate/100</f>
        <v>20600.662045480902</v>
      </c>
      <c r="G54" s="17">
        <f t="shared" si="6"/>
        <v>3382703.5124662863</v>
      </c>
      <c r="H54" s="18">
        <f t="shared" ref="H54:H81" si="21">G54*(1+ROA_Pre)+F54+E54-I54</f>
        <v>3661977.2479412584</v>
      </c>
      <c r="I54" s="18">
        <f t="shared" si="7"/>
        <v>3867</v>
      </c>
      <c r="J54" s="18">
        <f t="shared" si="8"/>
        <v>3867</v>
      </c>
      <c r="K54" s="18">
        <f t="shared" si="18"/>
        <v>255222</v>
      </c>
      <c r="L54" s="18">
        <f t="shared" si="9"/>
        <v>253641.27556851125</v>
      </c>
      <c r="N54" s="37">
        <f t="shared" si="14"/>
        <v>99</v>
      </c>
      <c r="O54" s="18">
        <f t="shared" si="15"/>
        <v>400400.21095456491</v>
      </c>
      <c r="P54" s="18">
        <f t="shared" si="2"/>
        <v>616000.3245454845</v>
      </c>
      <c r="Q54" s="18">
        <f t="shared" si="10"/>
        <v>215600.11359091959</v>
      </c>
      <c r="R54" s="18">
        <f t="shared" si="19"/>
        <v>11662.142066637811</v>
      </c>
      <c r="S54" s="18">
        <f t="shared" si="17"/>
        <v>31761.884615644794</v>
      </c>
      <c r="T54" s="18">
        <f t="shared" si="16"/>
        <v>-13176324.055578461</v>
      </c>
      <c r="U54" s="18">
        <f t="shared" si="3"/>
        <v>-14419378.698287224</v>
      </c>
      <c r="V54" s="19">
        <f t="shared" si="12"/>
        <v>1</v>
      </c>
      <c r="X54" s="38">
        <v>99</v>
      </c>
      <c r="Y54" s="6">
        <v>215600.11359091959</v>
      </c>
      <c r="Z54" s="6">
        <v>400400.21095456491</v>
      </c>
      <c r="AA54" s="6">
        <v>616000.3245454845</v>
      </c>
      <c r="AC54" s="38">
        <v>99</v>
      </c>
      <c r="AD54" s="6">
        <v>-14419378.698287224</v>
      </c>
      <c r="AF54" s="46">
        <v>72</v>
      </c>
      <c r="AG54" s="6">
        <v>25750.827556851127</v>
      </c>
      <c r="AH54" s="6">
        <v>20600.662045480902</v>
      </c>
      <c r="AI54" s="6">
        <v>257508.27556851125</v>
      </c>
    </row>
    <row r="55" spans="3:35">
      <c r="C55" s="18">
        <f t="shared" si="13"/>
        <v>73</v>
      </c>
      <c r="D55" s="18">
        <f t="shared" si="4"/>
        <v>265233.52383556659</v>
      </c>
      <c r="E55" s="18">
        <f t="shared" si="5"/>
        <v>26523.352383556659</v>
      </c>
      <c r="F55" s="18">
        <f t="shared" si="20"/>
        <v>21218.681906845326</v>
      </c>
      <c r="G55" s="17">
        <f t="shared" ref="G55:G80" si="22">H54</f>
        <v>3661977.2479412584</v>
      </c>
      <c r="H55" s="18">
        <f t="shared" si="21"/>
        <v>3962190.6895875488</v>
      </c>
      <c r="I55" s="18">
        <f t="shared" ref="I55:I81" si="23">$I$22</f>
        <v>3867</v>
      </c>
      <c r="J55" s="18">
        <f t="shared" si="8"/>
        <v>3867</v>
      </c>
      <c r="K55" s="18">
        <f t="shared" si="18"/>
        <v>262956</v>
      </c>
      <c r="L55" s="18">
        <f t="shared" si="9"/>
        <v>261366.52383556659</v>
      </c>
      <c r="N55" s="37">
        <f t="shared" si="14"/>
        <v>100</v>
      </c>
      <c r="O55" s="18">
        <f t="shared" si="15"/>
        <v>412412.21728320187</v>
      </c>
      <c r="P55" s="18">
        <f t="shared" si="2"/>
        <v>634480.33428184898</v>
      </c>
      <c r="Q55" s="18">
        <f t="shared" si="10"/>
        <v>222068.11699864711</v>
      </c>
      <c r="R55" s="18">
        <f t="shared" si="19"/>
        <v>12012.006328636955</v>
      </c>
      <c r="S55" s="18">
        <f t="shared" si="17"/>
        <v>32714.741154114137</v>
      </c>
      <c r="T55" s="18">
        <f t="shared" si="16"/>
        <v>-14419378.698287224</v>
      </c>
      <c r="U55" s="18">
        <f t="shared" si="3"/>
        <v>-15742113.226329321</v>
      </c>
      <c r="V55" s="19">
        <f t="shared" si="12"/>
        <v>1</v>
      </c>
      <c r="X55" s="38">
        <v>100</v>
      </c>
      <c r="Y55" s="6">
        <v>222068.11699864711</v>
      </c>
      <c r="Z55" s="6">
        <v>412412.21728320187</v>
      </c>
      <c r="AA55" s="6">
        <v>634480.33428184898</v>
      </c>
      <c r="AC55" s="38">
        <v>100</v>
      </c>
      <c r="AD55" s="6">
        <v>-15742113.226329321</v>
      </c>
      <c r="AF55" s="46">
        <v>73</v>
      </c>
      <c r="AG55" s="6">
        <v>26523.352383556659</v>
      </c>
      <c r="AH55" s="6">
        <v>21218.681906845326</v>
      </c>
      <c r="AI55" s="6">
        <v>265233.52383556659</v>
      </c>
    </row>
    <row r="56" spans="3:35">
      <c r="C56" s="18">
        <f t="shared" si="13"/>
        <v>74</v>
      </c>
      <c r="D56" s="18">
        <f t="shared" si="4"/>
        <v>273190.52955063363</v>
      </c>
      <c r="E56" s="18">
        <f t="shared" si="5"/>
        <v>27319.052955063366</v>
      </c>
      <c r="F56" s="18">
        <f t="shared" si="20"/>
        <v>21855.24236405069</v>
      </c>
      <c r="G56" s="17">
        <f t="shared" si="22"/>
        <v>3962190.6895875488</v>
      </c>
      <c r="H56" s="18">
        <f t="shared" si="21"/>
        <v>4284851.333177791</v>
      </c>
      <c r="I56" s="18">
        <f t="shared" si="23"/>
        <v>3867</v>
      </c>
      <c r="J56" s="18">
        <f t="shared" si="8"/>
        <v>3867</v>
      </c>
      <c r="K56" s="18">
        <f t="shared" si="18"/>
        <v>270690</v>
      </c>
      <c r="L56" s="18">
        <f t="shared" si="9"/>
        <v>269323.52955063363</v>
      </c>
      <c r="N56" s="37">
        <f t="shared" si="14"/>
        <v>101</v>
      </c>
      <c r="O56" s="18">
        <f t="shared" si="15"/>
        <v>424784.58380169794</v>
      </c>
      <c r="P56" s="18">
        <f t="shared" si="2"/>
        <v>653514.74431030452</v>
      </c>
      <c r="Q56" s="18">
        <f t="shared" si="10"/>
        <v>228730.16050860658</v>
      </c>
      <c r="R56" s="18">
        <f t="shared" si="19"/>
        <v>12372.36651849607</v>
      </c>
      <c r="S56" s="18">
        <f t="shared" si="17"/>
        <v>33696.183388737561</v>
      </c>
      <c r="T56" s="18">
        <f t="shared" si="16"/>
        <v>-15742113.226329321</v>
      </c>
      <c r="U56" s="18">
        <f t="shared" si="3"/>
        <v>-17149037.448567357</v>
      </c>
      <c r="V56" s="19">
        <f t="shared" si="12"/>
        <v>1</v>
      </c>
      <c r="X56" s="38">
        <v>101</v>
      </c>
      <c r="Y56" s="6">
        <v>228730.16050860658</v>
      </c>
      <c r="Z56" s="6">
        <v>424784.58380169794</v>
      </c>
      <c r="AA56" s="6">
        <v>653514.74431030452</v>
      </c>
      <c r="AC56" s="38">
        <v>101</v>
      </c>
      <c r="AD56" s="6">
        <v>-17149037.448567357</v>
      </c>
      <c r="AF56" s="46">
        <v>74</v>
      </c>
      <c r="AG56" s="6">
        <v>27319.052955063366</v>
      </c>
      <c r="AH56" s="6">
        <v>21855.24236405069</v>
      </c>
      <c r="AI56" s="6">
        <v>273190.52955063363</v>
      </c>
    </row>
    <row r="57" spans="3:35">
      <c r="C57" s="18">
        <f t="shared" si="13"/>
        <v>75</v>
      </c>
      <c r="D57" s="18">
        <f t="shared" si="4"/>
        <v>281386.24543715263</v>
      </c>
      <c r="E57" s="18">
        <f t="shared" si="5"/>
        <v>28138.624543715265</v>
      </c>
      <c r="F57" s="18">
        <f t="shared" si="20"/>
        <v>22510.899634972211</v>
      </c>
      <c r="G57" s="17">
        <f t="shared" si="22"/>
        <v>4284851.333177791</v>
      </c>
      <c r="H57" s="18">
        <f t="shared" si="21"/>
        <v>4631573.4506789241</v>
      </c>
      <c r="I57" s="18">
        <f t="shared" si="23"/>
        <v>3867</v>
      </c>
      <c r="J57" s="18">
        <f t="shared" si="8"/>
        <v>3867</v>
      </c>
      <c r="K57" s="18">
        <f t="shared" si="18"/>
        <v>278424</v>
      </c>
      <c r="L57" s="18">
        <f t="shared" si="9"/>
        <v>277519.24543715263</v>
      </c>
      <c r="N57" s="37">
        <f t="shared" si="14"/>
        <v>102</v>
      </c>
      <c r="O57" s="18">
        <f t="shared" si="15"/>
        <v>437528.1213157489</v>
      </c>
      <c r="P57" s="18">
        <f t="shared" si="2"/>
        <v>673120.1866396137</v>
      </c>
      <c r="Q57" s="18">
        <f t="shared" si="10"/>
        <v>235592.06532386481</v>
      </c>
      <c r="R57" s="18">
        <f t="shared" si="19"/>
        <v>12743.537514050957</v>
      </c>
      <c r="S57" s="18">
        <f t="shared" si="17"/>
        <v>34707.068890399692</v>
      </c>
      <c r="T57" s="18">
        <f t="shared" si="16"/>
        <v>-17149037.448567357</v>
      </c>
      <c r="U57" s="18">
        <f t="shared" si="3"/>
        <v>-18644902.43874494</v>
      </c>
      <c r="V57" s="19">
        <f t="shared" si="12"/>
        <v>1</v>
      </c>
      <c r="X57" s="38">
        <v>102</v>
      </c>
      <c r="Y57" s="6">
        <v>235592.06532386481</v>
      </c>
      <c r="Z57" s="6">
        <v>437528.1213157489</v>
      </c>
      <c r="AA57" s="6">
        <v>673120.1866396137</v>
      </c>
      <c r="AC57" s="38">
        <v>102</v>
      </c>
      <c r="AD57" s="6">
        <v>-18644902.43874494</v>
      </c>
      <c r="AF57" s="46">
        <v>75</v>
      </c>
      <c r="AG57" s="6">
        <v>28138.624543715265</v>
      </c>
      <c r="AH57" s="6">
        <v>22510.899634972211</v>
      </c>
      <c r="AI57" s="6">
        <v>281386.24543715263</v>
      </c>
    </row>
    <row r="58" spans="3:35">
      <c r="C58" s="18">
        <f t="shared" si="13"/>
        <v>76</v>
      </c>
      <c r="D58" s="18">
        <f t="shared" si="4"/>
        <v>289827.83280026721</v>
      </c>
      <c r="E58" s="18">
        <f t="shared" si="5"/>
        <v>28982.783280026721</v>
      </c>
      <c r="F58" s="18">
        <f t="shared" si="20"/>
        <v>23186.226624021376</v>
      </c>
      <c r="G58" s="17">
        <f t="shared" si="22"/>
        <v>4631573.4506789241</v>
      </c>
      <c r="H58" s="18">
        <f t="shared" si="21"/>
        <v>5004085.6021304978</v>
      </c>
      <c r="I58" s="18">
        <f t="shared" si="23"/>
        <v>3867</v>
      </c>
      <c r="J58" s="18">
        <f t="shared" si="8"/>
        <v>3867</v>
      </c>
      <c r="K58" s="18">
        <f t="shared" si="18"/>
        <v>286158</v>
      </c>
      <c r="L58" s="18">
        <f t="shared" si="9"/>
        <v>285960.83280026721</v>
      </c>
      <c r="N58" s="37">
        <f t="shared" si="14"/>
        <v>103</v>
      </c>
      <c r="O58" s="18">
        <f t="shared" si="15"/>
        <v>450653.9649552214</v>
      </c>
      <c r="P58" s="18">
        <f t="shared" si="2"/>
        <v>693313.79223880207</v>
      </c>
      <c r="Q58" s="18">
        <f t="shared" si="10"/>
        <v>242659.82728358067</v>
      </c>
      <c r="R58" s="18">
        <f t="shared" si="19"/>
        <v>13125.843639472499</v>
      </c>
      <c r="S58" s="18">
        <f t="shared" si="17"/>
        <v>35748.280957111681</v>
      </c>
      <c r="T58" s="18">
        <f t="shared" si="16"/>
        <v>-18644902.43874494</v>
      </c>
      <c r="U58" s="18">
        <f t="shared" si="3"/>
        <v>-20234713.07196388</v>
      </c>
      <c r="V58" s="19">
        <f t="shared" si="12"/>
        <v>1</v>
      </c>
      <c r="X58" s="38">
        <v>103</v>
      </c>
      <c r="Y58" s="6">
        <v>242659.82728358067</v>
      </c>
      <c r="Z58" s="6">
        <v>450653.9649552214</v>
      </c>
      <c r="AA58" s="6">
        <v>693313.79223880207</v>
      </c>
      <c r="AC58" s="38">
        <v>103</v>
      </c>
      <c r="AD58" s="6">
        <v>-20234713.07196388</v>
      </c>
      <c r="AF58" s="46">
        <v>76</v>
      </c>
      <c r="AG58" s="6">
        <v>28982.783280026721</v>
      </c>
      <c r="AH58" s="6">
        <v>23186.226624021376</v>
      </c>
      <c r="AI58" s="6">
        <v>289827.83280026721</v>
      </c>
    </row>
    <row r="59" spans="3:35">
      <c r="C59" s="18">
        <f t="shared" si="13"/>
        <v>77</v>
      </c>
      <c r="D59" s="18">
        <f t="shared" si="4"/>
        <v>298522.66778427525</v>
      </c>
      <c r="E59" s="18">
        <f t="shared" si="5"/>
        <v>29852.266778427525</v>
      </c>
      <c r="F59" s="18">
        <f t="shared" si="20"/>
        <v>23881.81342274202</v>
      </c>
      <c r="G59" s="17">
        <f t="shared" si="22"/>
        <v>5004085.6021304978</v>
      </c>
      <c r="H59" s="18">
        <f t="shared" si="21"/>
        <v>5404238.6744808024</v>
      </c>
      <c r="I59" s="18">
        <f t="shared" si="23"/>
        <v>3867</v>
      </c>
      <c r="J59" s="18">
        <f t="shared" si="8"/>
        <v>3867</v>
      </c>
      <c r="K59" s="18">
        <f t="shared" si="18"/>
        <v>293892</v>
      </c>
      <c r="L59" s="18">
        <f t="shared" si="9"/>
        <v>294655.66778427525</v>
      </c>
      <c r="N59" s="37">
        <f t="shared" si="14"/>
        <v>104</v>
      </c>
      <c r="O59" s="18">
        <f t="shared" si="15"/>
        <v>464173.58390387805</v>
      </c>
      <c r="P59" s="18">
        <f t="shared" si="2"/>
        <v>714113.20600596617</v>
      </c>
      <c r="Q59" s="18">
        <f t="shared" si="10"/>
        <v>249939.62210208812</v>
      </c>
      <c r="R59" s="18">
        <f t="shared" ref="R59:R66" si="24">O59-O58</f>
        <v>13519.618948656658</v>
      </c>
      <c r="S59" s="18">
        <f t="shared" si="17"/>
        <v>36820.729385825034</v>
      </c>
      <c r="T59" s="18">
        <f>U58</f>
        <v>-20234713.07196388</v>
      </c>
      <c r="U59" s="18">
        <f t="shared" si="3"/>
        <v>-21923741.202182211</v>
      </c>
      <c r="V59" s="19">
        <f t="shared" si="12"/>
        <v>1</v>
      </c>
      <c r="X59" s="38">
        <v>104</v>
      </c>
      <c r="Y59" s="6">
        <v>249939.62210208812</v>
      </c>
      <c r="Z59" s="6">
        <v>464173.58390387805</v>
      </c>
      <c r="AA59" s="6">
        <v>714113.20600596617</v>
      </c>
      <c r="AC59" s="38">
        <v>104</v>
      </c>
      <c r="AD59" s="6">
        <v>-21923741.202182211</v>
      </c>
      <c r="AF59" s="46">
        <v>77</v>
      </c>
      <c r="AG59" s="6">
        <v>29852.266778427525</v>
      </c>
      <c r="AH59" s="6">
        <v>23881.81342274202</v>
      </c>
      <c r="AI59" s="6">
        <v>298522.66778427525</v>
      </c>
    </row>
    <row r="60" spans="3:35">
      <c r="C60" s="18">
        <f t="shared" si="13"/>
        <v>78</v>
      </c>
      <c r="D60" s="18">
        <f t="shared" si="4"/>
        <v>307478.3478178035</v>
      </c>
      <c r="E60" s="18">
        <f t="shared" si="5"/>
        <v>30747.834781780351</v>
      </c>
      <c r="F60" s="18">
        <f t="shared" si="20"/>
        <v>24598.267825424278</v>
      </c>
      <c r="G60" s="17">
        <f t="shared" si="22"/>
        <v>5404238.6744808024</v>
      </c>
      <c r="H60" s="18">
        <f t="shared" si="21"/>
        <v>5834014.484301663</v>
      </c>
      <c r="I60" s="18">
        <f t="shared" si="23"/>
        <v>3867</v>
      </c>
      <c r="J60" s="18">
        <f t="shared" si="8"/>
        <v>3867</v>
      </c>
      <c r="K60" s="18">
        <f t="shared" si="18"/>
        <v>301626</v>
      </c>
      <c r="L60" s="18">
        <f t="shared" si="9"/>
        <v>303611.3478178035</v>
      </c>
      <c r="N60" s="37">
        <f t="shared" si="14"/>
        <v>105</v>
      </c>
      <c r="O60" s="18">
        <f t="shared" si="15"/>
        <v>478098.79142099438</v>
      </c>
      <c r="P60" s="18">
        <f t="shared" si="2"/>
        <v>735536.60218614514</v>
      </c>
      <c r="Q60" s="18">
        <f t="shared" si="10"/>
        <v>257437.81076515076</v>
      </c>
      <c r="R60" s="18">
        <f t="shared" si="24"/>
        <v>13925.207517116331</v>
      </c>
      <c r="S60" s="18">
        <f t="shared" si="17"/>
        <v>37925.351267399783</v>
      </c>
      <c r="T60" s="18">
        <f t="shared" si="16"/>
        <v>-21923741.202182211</v>
      </c>
      <c r="U60" s="18">
        <f t="shared" si="3"/>
        <v>-23717539.513210066</v>
      </c>
      <c r="V60" s="19">
        <f t="shared" si="12"/>
        <v>1</v>
      </c>
      <c r="X60" s="38">
        <v>105</v>
      </c>
      <c r="Y60" s="6">
        <v>257437.81076515076</v>
      </c>
      <c r="Z60" s="6">
        <v>478098.79142099438</v>
      </c>
      <c r="AA60" s="6">
        <v>735536.60218614514</v>
      </c>
      <c r="AC60" s="38">
        <v>105</v>
      </c>
      <c r="AD60" s="6">
        <v>-23717539.513210066</v>
      </c>
      <c r="AF60" s="46">
        <v>78</v>
      </c>
      <c r="AG60" s="6">
        <v>30747.834781780351</v>
      </c>
      <c r="AH60" s="6">
        <v>24598.267825424278</v>
      </c>
      <c r="AI60" s="6">
        <v>307478.3478178035</v>
      </c>
    </row>
    <row r="61" spans="3:35">
      <c r="C61" s="18">
        <f t="shared" si="13"/>
        <v>79</v>
      </c>
      <c r="D61" s="18">
        <f t="shared" si="4"/>
        <v>316702.69825233764</v>
      </c>
      <c r="E61" s="18">
        <f t="shared" si="5"/>
        <v>31670.269825233765</v>
      </c>
      <c r="F61" s="18">
        <f t="shared" si="20"/>
        <v>25336.215860187011</v>
      </c>
      <c r="G61" s="17">
        <f t="shared" si="22"/>
        <v>5834014.484301663</v>
      </c>
      <c r="H61" s="18">
        <f t="shared" si="21"/>
        <v>6295534.9838882005</v>
      </c>
      <c r="I61" s="18">
        <f t="shared" si="23"/>
        <v>3867</v>
      </c>
      <c r="J61" s="18">
        <f t="shared" si="8"/>
        <v>3867</v>
      </c>
      <c r="K61" s="18">
        <f t="shared" si="18"/>
        <v>309360</v>
      </c>
      <c r="L61" s="18">
        <f t="shared" si="9"/>
        <v>312835.69825233764</v>
      </c>
      <c r="N61" s="37">
        <f t="shared" si="14"/>
        <v>106</v>
      </c>
      <c r="O61" s="18">
        <f t="shared" si="15"/>
        <v>492441.75516362424</v>
      </c>
      <c r="P61" s="18">
        <f t="shared" si="2"/>
        <v>757602.70025172958</v>
      </c>
      <c r="Q61" s="18">
        <f t="shared" si="10"/>
        <v>265160.94508810533</v>
      </c>
      <c r="R61" s="18">
        <f t="shared" si="24"/>
        <v>14342.963742629858</v>
      </c>
      <c r="S61" s="18">
        <f t="shared" si="17"/>
        <v>39063.11180542178</v>
      </c>
      <c r="T61" s="18">
        <f t="shared" si="16"/>
        <v>-23717539.513210066</v>
      </c>
      <c r="U61" s="18">
        <f t="shared" si="3"/>
        <v>-25621956.077316877</v>
      </c>
      <c r="V61" s="19">
        <f t="shared" si="12"/>
        <v>1</v>
      </c>
      <c r="X61" s="38">
        <v>106</v>
      </c>
      <c r="Y61" s="6">
        <v>265160.94508810533</v>
      </c>
      <c r="Z61" s="6">
        <v>492441.75516362424</v>
      </c>
      <c r="AA61" s="6">
        <v>757602.70025172958</v>
      </c>
      <c r="AC61" s="38">
        <v>106</v>
      </c>
      <c r="AD61" s="6">
        <v>-25621956.077316877</v>
      </c>
      <c r="AF61" s="46">
        <v>79</v>
      </c>
      <c r="AG61" s="6">
        <v>31670.269825233765</v>
      </c>
      <c r="AH61" s="6">
        <v>25336.215860187011</v>
      </c>
      <c r="AI61" s="6">
        <v>316702.69825233764</v>
      </c>
    </row>
    <row r="62" spans="3:35">
      <c r="C62" s="18">
        <f t="shared" si="13"/>
        <v>80</v>
      </c>
      <c r="D62" s="18">
        <f t="shared" si="4"/>
        <v>326203.77919990779</v>
      </c>
      <c r="E62" s="18">
        <f t="shared" si="5"/>
        <v>32620.37791999078</v>
      </c>
      <c r="F62" s="18">
        <f t="shared" si="20"/>
        <v>26096.302335992623</v>
      </c>
      <c r="G62" s="17">
        <f t="shared" si="22"/>
        <v>6295534.9838882005</v>
      </c>
      <c r="H62" s="18">
        <f t="shared" si="21"/>
        <v>6791072.1130163576</v>
      </c>
      <c r="I62" s="18">
        <f t="shared" si="23"/>
        <v>3867</v>
      </c>
      <c r="J62" s="18">
        <f t="shared" si="8"/>
        <v>3867</v>
      </c>
      <c r="K62" s="18">
        <f t="shared" si="18"/>
        <v>317094</v>
      </c>
      <c r="L62" s="18">
        <f t="shared" si="9"/>
        <v>322336.77919990779</v>
      </c>
      <c r="N62" s="37">
        <f t="shared" si="14"/>
        <v>107</v>
      </c>
      <c r="O62" s="18">
        <f t="shared" si="15"/>
        <v>507215.00781853299</v>
      </c>
      <c r="P62" s="18">
        <f t="shared" si="2"/>
        <v>780330.78125928144</v>
      </c>
      <c r="Q62" s="18">
        <f t="shared" si="10"/>
        <v>273115.77344074845</v>
      </c>
      <c r="R62" s="18">
        <f t="shared" si="24"/>
        <v>14773.252654908749</v>
      </c>
      <c r="S62" s="18">
        <f t="shared" si="17"/>
        <v>40235.005159584434</v>
      </c>
      <c r="T62" s="18">
        <f t="shared" si="16"/>
        <v>-25621956.077316877</v>
      </c>
      <c r="U62" s="18">
        <f t="shared" si="3"/>
        <v>-27643149.65728242</v>
      </c>
      <c r="V62" s="19">
        <f t="shared" si="12"/>
        <v>1</v>
      </c>
      <c r="X62" s="38">
        <v>107</v>
      </c>
      <c r="Y62" s="6">
        <v>273115.77344074845</v>
      </c>
      <c r="Z62" s="6">
        <v>507215.00781853299</v>
      </c>
      <c r="AA62" s="6">
        <v>780330.78125928144</v>
      </c>
      <c r="AC62" s="38">
        <v>107</v>
      </c>
      <c r="AD62" s="6">
        <v>-27643149.65728242</v>
      </c>
      <c r="AF62" s="46">
        <v>80</v>
      </c>
      <c r="AG62" s="6">
        <v>32620.37791999078</v>
      </c>
      <c r="AH62" s="6">
        <v>26096.302335992623</v>
      </c>
      <c r="AI62" s="6">
        <v>326203.77919990779</v>
      </c>
    </row>
    <row r="63" spans="3:35">
      <c r="C63" s="18">
        <f t="shared" si="13"/>
        <v>81</v>
      </c>
      <c r="D63" s="18">
        <f t="shared" si="4"/>
        <v>335989.89257590502</v>
      </c>
      <c r="E63" s="18">
        <f t="shared" si="5"/>
        <v>33598.989257590503</v>
      </c>
      <c r="F63" s="18">
        <f t="shared" si="20"/>
        <v>26879.191406072401</v>
      </c>
      <c r="G63" s="17">
        <f t="shared" si="22"/>
        <v>6791072.1130163576</v>
      </c>
      <c r="H63" s="18">
        <f t="shared" si="21"/>
        <v>7323058.3415911663</v>
      </c>
      <c r="I63" s="18">
        <f t="shared" si="23"/>
        <v>3867</v>
      </c>
      <c r="J63" s="18">
        <f t="shared" si="8"/>
        <v>3867</v>
      </c>
      <c r="K63" s="18">
        <f t="shared" si="18"/>
        <v>324828</v>
      </c>
      <c r="L63" s="18">
        <f t="shared" si="9"/>
        <v>332122.89257590502</v>
      </c>
      <c r="N63" s="37">
        <f t="shared" si="14"/>
        <v>108</v>
      </c>
      <c r="O63" s="18">
        <f t="shared" si="15"/>
        <v>522431.45805308898</v>
      </c>
      <c r="P63" s="18">
        <f t="shared" si="2"/>
        <v>803740.70469705993</v>
      </c>
      <c r="Q63" s="18">
        <f t="shared" si="10"/>
        <v>281309.24664397095</v>
      </c>
      <c r="R63" s="18">
        <f t="shared" si="24"/>
        <v>15216.450234555989</v>
      </c>
      <c r="S63" s="18">
        <f t="shared" si="17"/>
        <v>41442.055314371966</v>
      </c>
      <c r="T63" s="18">
        <f t="shared" si="16"/>
        <v>-27643149.65728242</v>
      </c>
      <c r="U63" s="18">
        <f t="shared" si="3"/>
        <v>-29787605.78952923</v>
      </c>
      <c r="V63" s="19">
        <f t="shared" si="12"/>
        <v>1</v>
      </c>
      <c r="X63" s="38">
        <v>108</v>
      </c>
      <c r="Y63" s="6">
        <v>281309.24664397095</v>
      </c>
      <c r="Z63" s="6">
        <v>522431.45805308898</v>
      </c>
      <c r="AA63" s="6">
        <v>803740.70469705993</v>
      </c>
      <c r="AC63" s="38">
        <v>108</v>
      </c>
      <c r="AD63" s="6">
        <v>-29787605.78952923</v>
      </c>
      <c r="AF63" s="46">
        <v>81</v>
      </c>
      <c r="AG63" s="6">
        <v>33598.989257590503</v>
      </c>
      <c r="AH63" s="6">
        <v>26879.191406072401</v>
      </c>
      <c r="AI63" s="6">
        <v>335989.89257590502</v>
      </c>
    </row>
    <row r="64" spans="3:35">
      <c r="C64" s="18">
        <f t="shared" si="13"/>
        <v>82</v>
      </c>
      <c r="D64" s="18">
        <f t="shared" si="4"/>
        <v>346069.58935318218</v>
      </c>
      <c r="E64" s="18">
        <f t="shared" si="5"/>
        <v>34606.958935318216</v>
      </c>
      <c r="F64" s="18">
        <f t="shared" si="20"/>
        <v>27685.567148254573</v>
      </c>
      <c r="G64" s="17">
        <f t="shared" si="22"/>
        <v>7323058.3415911663</v>
      </c>
      <c r="H64" s="18">
        <f t="shared" si="21"/>
        <v>7894097.9515861208</v>
      </c>
      <c r="I64" s="18">
        <f t="shared" si="23"/>
        <v>3867</v>
      </c>
      <c r="J64" s="18">
        <f t="shared" si="8"/>
        <v>3867</v>
      </c>
      <c r="K64" s="18">
        <f t="shared" si="18"/>
        <v>332562</v>
      </c>
      <c r="L64" s="18">
        <f t="shared" si="9"/>
        <v>342202.58935318218</v>
      </c>
      <c r="N64" s="37">
        <f t="shared" si="14"/>
        <v>109</v>
      </c>
      <c r="O64" s="18">
        <f t="shared" si="15"/>
        <v>538104.40179468167</v>
      </c>
      <c r="P64" s="18">
        <f t="shared" si="2"/>
        <v>827852.92583797174</v>
      </c>
      <c r="Q64" s="18">
        <f t="shared" si="10"/>
        <v>289748.52404329006</v>
      </c>
      <c r="R64" s="18">
        <f t="shared" si="24"/>
        <v>15672.943741592695</v>
      </c>
      <c r="S64" s="18">
        <f t="shared" si="17"/>
        <v>42685.316973803128</v>
      </c>
      <c r="T64" s="18">
        <f t="shared" si="16"/>
        <v>-29787605.78952923</v>
      </c>
      <c r="U64" s="18">
        <f t="shared" si="3"/>
        <v>-32062153.687869862</v>
      </c>
      <c r="V64" s="19">
        <f t="shared" si="12"/>
        <v>1</v>
      </c>
      <c r="X64" s="38">
        <v>109</v>
      </c>
      <c r="Y64" s="6">
        <v>289748.52404329006</v>
      </c>
      <c r="Z64" s="6">
        <v>538104.40179468167</v>
      </c>
      <c r="AA64" s="6">
        <v>827852.92583797174</v>
      </c>
      <c r="AC64" s="38">
        <v>109</v>
      </c>
      <c r="AD64" s="6">
        <v>-32062153.687869862</v>
      </c>
      <c r="AF64" s="46">
        <v>82</v>
      </c>
      <c r="AG64" s="6">
        <v>34606.958935318216</v>
      </c>
      <c r="AH64" s="6">
        <v>27685.567148254573</v>
      </c>
      <c r="AI64" s="6">
        <v>346069.58935318218</v>
      </c>
    </row>
    <row r="65" spans="3:35">
      <c r="C65" s="18">
        <f t="shared" si="13"/>
        <v>83</v>
      </c>
      <c r="D65" s="18">
        <f t="shared" si="4"/>
        <v>356451.67703377764</v>
      </c>
      <c r="E65" s="18">
        <f t="shared" si="5"/>
        <v>35645.167703377767</v>
      </c>
      <c r="F65" s="18">
        <f t="shared" si="20"/>
        <v>28516.134162702212</v>
      </c>
      <c r="G65" s="17">
        <f t="shared" si="22"/>
        <v>7894097.9515861208</v>
      </c>
      <c r="H65" s="18">
        <f t="shared" si="21"/>
        <v>8506979.1100632288</v>
      </c>
      <c r="I65" s="18">
        <f t="shared" si="23"/>
        <v>3867</v>
      </c>
      <c r="J65" s="18">
        <f t="shared" si="8"/>
        <v>3867</v>
      </c>
      <c r="K65" s="18">
        <f t="shared" si="18"/>
        <v>340296</v>
      </c>
      <c r="L65" s="18">
        <f t="shared" si="9"/>
        <v>352584.67703377764</v>
      </c>
      <c r="N65" s="37">
        <f t="shared" si="14"/>
        <v>110</v>
      </c>
      <c r="O65" s="18">
        <f t="shared" si="15"/>
        <v>554247.53384852211</v>
      </c>
      <c r="P65" s="18">
        <f t="shared" si="2"/>
        <v>852688.51361311087</v>
      </c>
      <c r="Q65" s="18">
        <f t="shared" si="10"/>
        <v>298440.97976458876</v>
      </c>
      <c r="R65" s="18">
        <f t="shared" si="24"/>
        <v>16143.13205384044</v>
      </c>
      <c r="S65" s="18">
        <f t="shared" si="17"/>
        <v>43965.876483017222</v>
      </c>
      <c r="T65" s="18">
        <f t="shared" si="16"/>
        <v>-32062153.687869862</v>
      </c>
      <c r="U65" s="18">
        <f t="shared" si="3"/>
        <v>-34473984.009393454</v>
      </c>
      <c r="V65" s="19">
        <f t="shared" si="12"/>
        <v>1</v>
      </c>
      <c r="X65" s="38">
        <v>110</v>
      </c>
      <c r="Y65" s="6">
        <v>298440.97976458876</v>
      </c>
      <c r="Z65" s="6">
        <v>554247.53384852211</v>
      </c>
      <c r="AA65" s="6">
        <v>852688.51361311087</v>
      </c>
      <c r="AC65" s="38">
        <v>110</v>
      </c>
      <c r="AD65" s="6">
        <v>-34473984.009393454</v>
      </c>
      <c r="AF65" s="46">
        <v>83</v>
      </c>
      <c r="AG65" s="6">
        <v>35645.167703377767</v>
      </c>
      <c r="AH65" s="6">
        <v>28516.134162702212</v>
      </c>
      <c r="AI65" s="6">
        <v>356451.67703377764</v>
      </c>
    </row>
    <row r="66" spans="3:35">
      <c r="C66" s="18">
        <f t="shared" si="13"/>
        <v>84</v>
      </c>
      <c r="D66" s="18">
        <f t="shared" si="4"/>
        <v>367145.227344791</v>
      </c>
      <c r="E66" s="18">
        <f t="shared" si="5"/>
        <v>36714.522734479098</v>
      </c>
      <c r="F66" s="18">
        <f t="shared" si="20"/>
        <v>29371.618187583281</v>
      </c>
      <c r="G66" s="17">
        <f t="shared" si="22"/>
        <v>8506979.1100632288</v>
      </c>
      <c r="H66" s="18">
        <f t="shared" si="21"/>
        <v>9164686.7886897195</v>
      </c>
      <c r="I66" s="18">
        <f t="shared" si="23"/>
        <v>3867</v>
      </c>
      <c r="J66" s="18">
        <f t="shared" si="8"/>
        <v>3867</v>
      </c>
      <c r="K66" s="18">
        <f t="shared" si="18"/>
        <v>348030</v>
      </c>
      <c r="L66" s="18">
        <f t="shared" si="9"/>
        <v>363278.227344791</v>
      </c>
      <c r="N66" s="37">
        <f t="shared" si="14"/>
        <v>111</v>
      </c>
      <c r="O66" s="18">
        <f t="shared" si="15"/>
        <v>570874.95986397774</v>
      </c>
      <c r="P66" s="18">
        <f t="shared" si="2"/>
        <v>878269.16902150423</v>
      </c>
      <c r="Q66" s="18">
        <f t="shared" si="10"/>
        <v>307394.20915752649</v>
      </c>
      <c r="R66" s="18">
        <f t="shared" si="24"/>
        <v>16627.426015455625</v>
      </c>
      <c r="S66" s="18">
        <f t="shared" si="17"/>
        <v>45284.852777507738</v>
      </c>
      <c r="T66" s="18">
        <f t="shared" si="16"/>
        <v>-34473984.009393454</v>
      </c>
      <c r="U66" s="18">
        <f t="shared" si="3"/>
        <v>-37030667.526107118</v>
      </c>
      <c r="V66" s="19">
        <f t="shared" si="12"/>
        <v>1</v>
      </c>
      <c r="X66" s="38">
        <v>111</v>
      </c>
      <c r="Y66" s="6">
        <v>307394.20915752649</v>
      </c>
      <c r="Z66" s="6">
        <v>570874.95986397774</v>
      </c>
      <c r="AA66" s="6">
        <v>878269.16902150423</v>
      </c>
      <c r="AC66" s="38">
        <v>111</v>
      </c>
      <c r="AD66" s="6">
        <v>-37030667.526107118</v>
      </c>
      <c r="AF66" s="46">
        <v>84</v>
      </c>
      <c r="AG66" s="6">
        <v>36714.522734479098</v>
      </c>
      <c r="AH66" s="6">
        <v>29371.618187583281</v>
      </c>
      <c r="AI66" s="6">
        <v>367145.227344791</v>
      </c>
    </row>
    <row r="67" spans="3:35">
      <c r="C67" s="18">
        <f t="shared" si="13"/>
        <v>85</v>
      </c>
      <c r="D67" s="18">
        <f t="shared" si="4"/>
        <v>378159.58416513476</v>
      </c>
      <c r="E67" s="18">
        <f t="shared" si="5"/>
        <v>37815.95841651348</v>
      </c>
      <c r="F67" s="18">
        <f t="shared" si="20"/>
        <v>30252.766733210781</v>
      </c>
      <c r="G67" s="17">
        <f t="shared" si="22"/>
        <v>9164686.7886897195</v>
      </c>
      <c r="H67" s="18">
        <f t="shared" si="21"/>
        <v>9870416.5890477244</v>
      </c>
      <c r="I67" s="18">
        <f t="shared" si="23"/>
        <v>3867</v>
      </c>
      <c r="J67" s="18">
        <f t="shared" si="8"/>
        <v>3867</v>
      </c>
      <c r="K67" s="18">
        <f t="shared" si="18"/>
        <v>355764</v>
      </c>
      <c r="L67" s="18">
        <f t="shared" si="9"/>
        <v>374292.58416513476</v>
      </c>
      <c r="X67" s="38" t="s">
        <v>42</v>
      </c>
      <c r="Y67" s="6">
        <v>7763017.5586920548</v>
      </c>
      <c r="Z67" s="6">
        <v>14417032.608999534</v>
      </c>
      <c r="AA67" s="6">
        <v>22180050.167691585</v>
      </c>
      <c r="AC67" s="38" t="s">
        <v>42</v>
      </c>
      <c r="AD67" s="6">
        <v>-408328197.51410753</v>
      </c>
      <c r="AF67" s="46">
        <v>85</v>
      </c>
      <c r="AG67" s="6">
        <v>37815.95841651348</v>
      </c>
      <c r="AH67" s="6">
        <v>30252.766733210781</v>
      </c>
      <c r="AI67" s="6">
        <v>378159.58416513476</v>
      </c>
    </row>
    <row r="68" spans="3:35">
      <c r="C68" s="18">
        <f t="shared" si="13"/>
        <v>86</v>
      </c>
      <c r="D68" s="18">
        <f t="shared" si="4"/>
        <v>389504.37169008882</v>
      </c>
      <c r="E68" s="18">
        <f t="shared" si="5"/>
        <v>38950.437169008881</v>
      </c>
      <c r="F68" s="18">
        <f t="shared" si="20"/>
        <v>31160.349735207106</v>
      </c>
      <c r="G68" s="17">
        <f t="shared" si="22"/>
        <v>9870416.5890477244</v>
      </c>
      <c r="H68" s="18">
        <f t="shared" si="21"/>
        <v>10627589.537185282</v>
      </c>
      <c r="I68" s="18">
        <f t="shared" si="23"/>
        <v>3867</v>
      </c>
      <c r="J68" s="18">
        <f t="shared" si="8"/>
        <v>3867</v>
      </c>
      <c r="K68" s="18">
        <f t="shared" si="18"/>
        <v>363498</v>
      </c>
      <c r="L68" s="18">
        <f t="shared" si="9"/>
        <v>385637.37169008882</v>
      </c>
      <c r="AF68" s="46" t="s">
        <v>42</v>
      </c>
      <c r="AG68" s="6">
        <v>965014.572300295</v>
      </c>
      <c r="AH68" s="6">
        <v>772011.65784023597</v>
      </c>
      <c r="AI68" s="6">
        <v>9650145.7230029516</v>
      </c>
    </row>
    <row r="69" spans="3:35">
      <c r="C69" s="18">
        <f t="shared" si="13"/>
        <v>87</v>
      </c>
      <c r="D69" s="18">
        <f t="shared" si="4"/>
        <v>401189.50284079148</v>
      </c>
      <c r="E69" s="18">
        <f t="shared" si="5"/>
        <v>40118.950284079154</v>
      </c>
      <c r="F69" s="18">
        <f t="shared" si="20"/>
        <v>32095.160227263317</v>
      </c>
      <c r="G69" s="17">
        <f t="shared" si="22"/>
        <v>10627589.537185282</v>
      </c>
      <c r="H69" s="18">
        <f t="shared" si="21"/>
        <v>11439867.915299594</v>
      </c>
      <c r="I69" s="18">
        <f t="shared" si="23"/>
        <v>3867</v>
      </c>
      <c r="J69" s="18">
        <f t="shared" si="8"/>
        <v>3867</v>
      </c>
      <c r="K69" s="18">
        <f t="shared" si="18"/>
        <v>371232</v>
      </c>
      <c r="L69" s="18">
        <f t="shared" si="9"/>
        <v>397322.50284079148</v>
      </c>
      <c r="N69" t="s">
        <v>10</v>
      </c>
      <c r="O69" t="s">
        <v>43</v>
      </c>
    </row>
    <row r="70" spans="3:35">
      <c r="C70" s="18">
        <f t="shared" si="13"/>
        <v>88</v>
      </c>
      <c r="D70" s="18">
        <f t="shared" si="4"/>
        <v>413225.18792601523</v>
      </c>
      <c r="E70" s="18">
        <f t="shared" si="5"/>
        <v>41322.518792601528</v>
      </c>
      <c r="F70" s="18">
        <f t="shared" si="20"/>
        <v>33058.015034081218</v>
      </c>
      <c r="G70" s="17">
        <f t="shared" si="22"/>
        <v>11439867.915299594</v>
      </c>
      <c r="H70" s="18">
        <f t="shared" si="21"/>
        <v>12311172.20319725</v>
      </c>
      <c r="I70" s="18">
        <f t="shared" si="23"/>
        <v>3867</v>
      </c>
      <c r="J70" s="18">
        <f t="shared" si="8"/>
        <v>3867</v>
      </c>
      <c r="K70" s="18">
        <f t="shared" si="18"/>
        <v>378966</v>
      </c>
      <c r="L70" s="18">
        <f t="shared" si="9"/>
        <v>409358.18792601523</v>
      </c>
      <c r="N70">
        <v>60</v>
      </c>
      <c r="O70" s="34">
        <f t="shared" ref="O70:O73" si="25">O71*(1-0.072)</f>
        <v>7224.3102705513629</v>
      </c>
    </row>
    <row r="71" spans="3:35">
      <c r="C71" s="18">
        <f t="shared" si="13"/>
        <v>89</v>
      </c>
      <c r="D71" s="18">
        <f t="shared" si="4"/>
        <v>425621.94356379571</v>
      </c>
      <c r="E71" s="18">
        <f t="shared" si="5"/>
        <v>42562.194356379572</v>
      </c>
      <c r="F71" s="18">
        <f t="shared" si="20"/>
        <v>34049.755485103655</v>
      </c>
      <c r="G71" s="17">
        <f t="shared" si="22"/>
        <v>12311172.20319725</v>
      </c>
      <c r="H71" s="18">
        <f t="shared" si="21"/>
        <v>13245699.207262542</v>
      </c>
      <c r="I71" s="18">
        <f t="shared" si="23"/>
        <v>3867</v>
      </c>
      <c r="J71" s="18">
        <f t="shared" si="8"/>
        <v>3867</v>
      </c>
      <c r="K71" s="18">
        <f t="shared" si="18"/>
        <v>386700</v>
      </c>
      <c r="L71" s="18">
        <f t="shared" si="9"/>
        <v>421754.94356379571</v>
      </c>
      <c r="N71">
        <f>N70+1</f>
        <v>61</v>
      </c>
      <c r="O71" s="34">
        <f t="shared" si="25"/>
        <v>7784.8171018872445</v>
      </c>
    </row>
    <row r="72" spans="3:35">
      <c r="C72" s="18">
        <f t="shared" si="13"/>
        <v>90</v>
      </c>
      <c r="D72" s="18">
        <f t="shared" si="4"/>
        <v>438390.60187070956</v>
      </c>
      <c r="E72" s="18">
        <f t="shared" si="5"/>
        <v>43839.060187070958</v>
      </c>
      <c r="F72" s="18">
        <f t="shared" si="20"/>
        <v>35071.248149656763</v>
      </c>
      <c r="G72" s="17">
        <f t="shared" si="22"/>
        <v>13245699.207262542</v>
      </c>
      <c r="H72" s="18">
        <f t="shared" si="21"/>
        <v>14247941.460107651</v>
      </c>
      <c r="I72" s="18">
        <f t="shared" si="23"/>
        <v>3867</v>
      </c>
      <c r="J72" s="18">
        <f t="shared" si="8"/>
        <v>3867</v>
      </c>
      <c r="K72" s="18">
        <f t="shared" si="18"/>
        <v>394434</v>
      </c>
      <c r="L72" s="18">
        <f t="shared" si="9"/>
        <v>434523.60187070956</v>
      </c>
      <c r="N72">
        <f t="shared" ref="N72:N80" si="26">N71+1</f>
        <v>62</v>
      </c>
      <c r="O72" s="34">
        <f t="shared" si="25"/>
        <v>8388.8115322060821</v>
      </c>
    </row>
    <row r="73" spans="3:35">
      <c r="C73" s="18">
        <f t="shared" si="13"/>
        <v>91</v>
      </c>
      <c r="D73" s="18">
        <f t="shared" si="4"/>
        <v>451542.31992683088</v>
      </c>
      <c r="E73" s="18">
        <f t="shared" si="5"/>
        <v>45154.23199268309</v>
      </c>
      <c r="F73" s="18">
        <f t="shared" si="20"/>
        <v>36123.385594146472</v>
      </c>
      <c r="G73" s="17">
        <f t="shared" si="22"/>
        <v>14247941.460107651</v>
      </c>
      <c r="H73" s="18">
        <f t="shared" si="21"/>
        <v>15322707.979902016</v>
      </c>
      <c r="I73" s="18">
        <f t="shared" si="23"/>
        <v>3867</v>
      </c>
      <c r="J73" s="18">
        <f t="shared" si="8"/>
        <v>3867</v>
      </c>
      <c r="K73" s="18">
        <f t="shared" si="18"/>
        <v>402168</v>
      </c>
      <c r="L73" s="18">
        <f t="shared" si="9"/>
        <v>447675.31992683088</v>
      </c>
      <c r="N73">
        <f t="shared" si="26"/>
        <v>63</v>
      </c>
      <c r="O73" s="34">
        <f t="shared" si="25"/>
        <v>9039.667599360002</v>
      </c>
    </row>
    <row r="74" spans="3:35">
      <c r="C74" s="18">
        <f t="shared" si="13"/>
        <v>92</v>
      </c>
      <c r="D74" s="18">
        <f t="shared" si="4"/>
        <v>465088.58952463581</v>
      </c>
      <c r="E74" s="18">
        <f t="shared" si="5"/>
        <v>46508.858952463583</v>
      </c>
      <c r="F74" s="18">
        <f t="shared" si="20"/>
        <v>37207.087161970863</v>
      </c>
      <c r="G74" s="17">
        <f t="shared" si="22"/>
        <v>15322707.979902016</v>
      </c>
      <c r="H74" s="18">
        <f t="shared" si="21"/>
        <v>16475146.484609593</v>
      </c>
      <c r="I74" s="18">
        <f t="shared" si="23"/>
        <v>3867</v>
      </c>
      <c r="J74" s="18">
        <f t="shared" si="8"/>
        <v>3867</v>
      </c>
      <c r="K74" s="18">
        <f t="shared" si="18"/>
        <v>409902</v>
      </c>
      <c r="L74" s="18">
        <f t="shared" si="9"/>
        <v>461221.58952463581</v>
      </c>
      <c r="N74">
        <f t="shared" si="26"/>
        <v>64</v>
      </c>
      <c r="O74" s="34">
        <f>O75*(1-0.072)</f>
        <v>9741.0211200000012</v>
      </c>
    </row>
    <row r="75" spans="3:35">
      <c r="C75" s="18">
        <f t="shared" si="13"/>
        <v>93</v>
      </c>
      <c r="D75" s="18">
        <f t="shared" si="4"/>
        <v>479041.24721037492</v>
      </c>
      <c r="E75" s="18">
        <f t="shared" si="5"/>
        <v>47904.124721037493</v>
      </c>
      <c r="F75" s="18">
        <f t="shared" si="20"/>
        <v>38323.29977682999</v>
      </c>
      <c r="G75" s="17">
        <f t="shared" si="22"/>
        <v>16475146.484609593</v>
      </c>
      <c r="H75" s="18">
        <f t="shared" si="21"/>
        <v>17710767.163030133</v>
      </c>
      <c r="I75" s="18">
        <f t="shared" si="23"/>
        <v>3867</v>
      </c>
      <c r="J75" s="18">
        <f t="shared" si="8"/>
        <v>3867</v>
      </c>
      <c r="K75" s="18">
        <f t="shared" si="18"/>
        <v>417636</v>
      </c>
      <c r="L75" s="18">
        <f t="shared" si="9"/>
        <v>475174.24721037492</v>
      </c>
      <c r="N75" s="23">
        <f t="shared" si="26"/>
        <v>65</v>
      </c>
      <c r="O75" s="35">
        <v>10496.79</v>
      </c>
    </row>
    <row r="76" spans="3:35">
      <c r="C76" s="18">
        <f t="shared" si="13"/>
        <v>94</v>
      </c>
      <c r="D76" s="18">
        <f t="shared" si="4"/>
        <v>493412.4846266862</v>
      </c>
      <c r="E76" s="18">
        <f t="shared" si="5"/>
        <v>49341.24846266862</v>
      </c>
      <c r="F76" s="18">
        <f t="shared" si="20"/>
        <v>39472.998770134895</v>
      </c>
      <c r="G76" s="17">
        <f t="shared" si="22"/>
        <v>17710767.163030133</v>
      </c>
      <c r="H76" s="18">
        <f t="shared" si="21"/>
        <v>19035468.11167505</v>
      </c>
      <c r="I76" s="18">
        <f t="shared" si="23"/>
        <v>3867</v>
      </c>
      <c r="J76" s="18">
        <f t="shared" si="8"/>
        <v>3867</v>
      </c>
      <c r="K76" s="18">
        <f t="shared" si="18"/>
        <v>425370</v>
      </c>
      <c r="L76" s="18">
        <f t="shared" si="9"/>
        <v>489545.4846266862</v>
      </c>
      <c r="N76">
        <f t="shared" si="26"/>
        <v>66</v>
      </c>
      <c r="O76" s="34">
        <f>O75*(1+0.084)</f>
        <v>11378.520360000002</v>
      </c>
    </row>
    <row r="77" spans="3:35">
      <c r="C77" s="18">
        <f t="shared" si="13"/>
        <v>95</v>
      </c>
      <c r="D77" s="18">
        <f t="shared" si="4"/>
        <v>508214.85916548682</v>
      </c>
      <c r="E77" s="18">
        <f t="shared" si="5"/>
        <v>50821.485916548685</v>
      </c>
      <c r="F77" s="18">
        <f t="shared" si="20"/>
        <v>40657.188733238945</v>
      </c>
      <c r="G77" s="17">
        <f t="shared" si="22"/>
        <v>19035468.11167505</v>
      </c>
      <c r="H77" s="18">
        <f t="shared" si="21"/>
        <v>20455562.554142091</v>
      </c>
      <c r="I77" s="18">
        <f t="shared" si="23"/>
        <v>3867</v>
      </c>
      <c r="J77" s="18">
        <f t="shared" si="8"/>
        <v>3867</v>
      </c>
      <c r="K77" s="18">
        <f t="shared" si="18"/>
        <v>433104</v>
      </c>
      <c r="L77" s="18">
        <f t="shared" si="9"/>
        <v>504347.85916548682</v>
      </c>
      <c r="N77">
        <f t="shared" si="26"/>
        <v>67</v>
      </c>
      <c r="O77" s="34">
        <f t="shared" ref="O77:O80" si="27">O76*(1+0.084)</f>
        <v>12334.316070240004</v>
      </c>
    </row>
    <row r="78" spans="3:35">
      <c r="C78" s="18">
        <f t="shared" si="13"/>
        <v>96</v>
      </c>
      <c r="D78" s="18">
        <f t="shared" si="4"/>
        <v>523461.30494045146</v>
      </c>
      <c r="E78" s="18">
        <f t="shared" si="5"/>
        <v>52346.130494045152</v>
      </c>
      <c r="F78" s="18">
        <f t="shared" si="20"/>
        <v>41876.904395236117</v>
      </c>
      <c r="G78" s="17">
        <f t="shared" si="22"/>
        <v>20455562.554142091</v>
      </c>
      <c r="H78" s="18">
        <f t="shared" si="21"/>
        <v>21977807.967821322</v>
      </c>
      <c r="I78" s="18">
        <f t="shared" si="23"/>
        <v>3867</v>
      </c>
      <c r="J78" s="18">
        <f t="shared" si="8"/>
        <v>3867</v>
      </c>
      <c r="K78" s="18">
        <f t="shared" si="18"/>
        <v>440838</v>
      </c>
      <c r="L78" s="18">
        <f t="shared" si="9"/>
        <v>519594.30494045146</v>
      </c>
      <c r="N78">
        <f t="shared" si="26"/>
        <v>68</v>
      </c>
      <c r="O78" s="34">
        <f t="shared" si="27"/>
        <v>13370.398620140166</v>
      </c>
    </row>
    <row r="79" spans="3:35">
      <c r="C79" s="18">
        <f t="shared" si="13"/>
        <v>97</v>
      </c>
      <c r="D79" s="18">
        <f t="shared" si="4"/>
        <v>539165.14408866502</v>
      </c>
      <c r="E79" s="18">
        <f t="shared" si="5"/>
        <v>53916.514408866504</v>
      </c>
      <c r="F79" s="18">
        <f t="shared" si="20"/>
        <v>43133.211527093204</v>
      </c>
      <c r="G79" s="17">
        <f t="shared" si="22"/>
        <v>21977807.967821322</v>
      </c>
      <c r="H79" s="18">
        <f t="shared" si="21"/>
        <v>23609437.251504779</v>
      </c>
      <c r="I79" s="18">
        <f t="shared" si="23"/>
        <v>3867</v>
      </c>
      <c r="J79" s="18">
        <f t="shared" si="8"/>
        <v>3867</v>
      </c>
      <c r="K79" s="18">
        <f t="shared" si="18"/>
        <v>448572</v>
      </c>
      <c r="L79" s="18">
        <f t="shared" si="9"/>
        <v>535298.14408866502</v>
      </c>
      <c r="N79">
        <f>N78+1</f>
        <v>69</v>
      </c>
      <c r="O79" s="34">
        <f t="shared" si="27"/>
        <v>14493.512104231941</v>
      </c>
    </row>
    <row r="80" spans="3:35">
      <c r="C80" s="18">
        <f t="shared" si="13"/>
        <v>98</v>
      </c>
      <c r="D80" s="18">
        <f t="shared" si="4"/>
        <v>555340.09841132502</v>
      </c>
      <c r="E80" s="18">
        <f t="shared" si="5"/>
        <v>55534.009841132502</v>
      </c>
      <c r="F80" s="18">
        <f t="shared" si="20"/>
        <v>44427.207872906001</v>
      </c>
      <c r="G80" s="17">
        <f t="shared" si="22"/>
        <v>23609437.251504779</v>
      </c>
      <c r="H80" s="18">
        <f t="shared" si="21"/>
        <v>25358192.076824151</v>
      </c>
      <c r="I80" s="18">
        <f t="shared" si="23"/>
        <v>3867</v>
      </c>
      <c r="J80" s="18">
        <f t="shared" si="8"/>
        <v>3867</v>
      </c>
      <c r="K80" s="18">
        <f t="shared" si="18"/>
        <v>456306</v>
      </c>
      <c r="L80" s="18">
        <f t="shared" si="9"/>
        <v>551473.09841132502</v>
      </c>
      <c r="N80">
        <f t="shared" si="26"/>
        <v>70</v>
      </c>
      <c r="O80" s="34">
        <f t="shared" si="27"/>
        <v>15710.967120987425</v>
      </c>
    </row>
    <row r="81" spans="3:12">
      <c r="C81" s="18">
        <f>C80+1</f>
        <v>99</v>
      </c>
      <c r="D81" s="18">
        <f>D80*(1+Income_Growth_Rate)</f>
        <v>572000.3013636648</v>
      </c>
      <c r="E81" s="18">
        <f t="shared" si="5"/>
        <v>57200.030136366484</v>
      </c>
      <c r="F81" s="18">
        <f t="shared" si="20"/>
        <v>45760.024109093181</v>
      </c>
      <c r="G81" s="17">
        <f>H80</f>
        <v>25358192.076824151</v>
      </c>
      <c r="H81" s="18">
        <f t="shared" si="21"/>
        <v>27232358.576447301</v>
      </c>
      <c r="I81" s="18">
        <f t="shared" si="23"/>
        <v>3867</v>
      </c>
      <c r="J81" s="18">
        <f t="shared" si="8"/>
        <v>3867</v>
      </c>
      <c r="K81" s="18">
        <f>I81+J81+K80</f>
        <v>464040</v>
      </c>
      <c r="L81" s="18">
        <f t="shared" si="9"/>
        <v>568133.3013636648</v>
      </c>
    </row>
    <row r="83" spans="3:12">
      <c r="D83" s="6"/>
    </row>
    <row r="84" spans="3:12" ht="17" customHeight="1"/>
  </sheetData>
  <pageMargins left="0.7" right="0.7" top="0.75" bottom="0.75" header="0.3" footer="0.3"/>
  <drawing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9E0B6-8EA4-4BF1-B723-AA322B289603}">
  <sheetPr codeName="Sheet3"/>
  <dimension ref="B1:R81"/>
  <sheetViews>
    <sheetView zoomScaleNormal="100" workbookViewId="0">
      <selection activeCell="L2" sqref="L2"/>
    </sheetView>
  </sheetViews>
  <sheetFormatPr baseColWidth="10" defaultColWidth="8.83203125" defaultRowHeight="16"/>
  <cols>
    <col min="1" max="1" width="34" customWidth="1"/>
  </cols>
  <sheetData>
    <row r="1" spans="2:12" ht="17" thickBot="1"/>
    <row r="2" spans="2:12">
      <c r="B2" t="s">
        <v>0</v>
      </c>
      <c r="H2" s="1" t="s">
        <v>1</v>
      </c>
      <c r="I2" s="2"/>
      <c r="J2" s="2"/>
      <c r="K2" s="2"/>
      <c r="L2" s="3"/>
    </row>
    <row r="3" spans="2:12">
      <c r="H3" s="4" t="s">
        <v>2</v>
      </c>
      <c r="L3" s="5"/>
    </row>
    <row r="4" spans="2:12">
      <c r="B4" t="s">
        <v>3</v>
      </c>
      <c r="H4" s="4" t="s">
        <v>4</v>
      </c>
      <c r="L4" s="5"/>
    </row>
    <row r="5" spans="2:12">
      <c r="C5" t="s">
        <v>5</v>
      </c>
      <c r="D5" s="6">
        <v>100000</v>
      </c>
      <c r="H5" s="4" t="s">
        <v>6</v>
      </c>
      <c r="L5" s="5"/>
    </row>
    <row r="6" spans="2:12" ht="17" thickBot="1">
      <c r="C6" t="s">
        <v>7</v>
      </c>
      <c r="D6" s="6">
        <v>120000</v>
      </c>
      <c r="H6" s="7" t="s">
        <v>8</v>
      </c>
      <c r="I6" s="8"/>
      <c r="J6" s="8"/>
      <c r="K6" s="8"/>
      <c r="L6" s="9"/>
    </row>
    <row r="7" spans="2:12">
      <c r="C7" t="s">
        <v>9</v>
      </c>
      <c r="D7" s="10">
        <v>0.1</v>
      </c>
    </row>
    <row r="8" spans="2:12">
      <c r="C8" t="s">
        <v>10</v>
      </c>
      <c r="D8" s="6">
        <v>40</v>
      </c>
    </row>
    <row r="9" spans="2:12">
      <c r="C9" t="s">
        <v>11</v>
      </c>
      <c r="D9" s="11">
        <v>7.0000000000000007E-2</v>
      </c>
    </row>
    <row r="10" spans="2:12">
      <c r="C10" t="s">
        <v>12</v>
      </c>
      <c r="D10" s="11">
        <v>0.05</v>
      </c>
    </row>
    <row r="11" spans="2:12">
      <c r="C11" t="s">
        <v>13</v>
      </c>
      <c r="D11" s="11">
        <v>0.03</v>
      </c>
    </row>
    <row r="12" spans="2:12">
      <c r="C12" t="s">
        <v>46</v>
      </c>
      <c r="D12" s="11">
        <v>0.03</v>
      </c>
    </row>
    <row r="13" spans="2:12">
      <c r="C13" t="s">
        <v>14</v>
      </c>
      <c r="D13" s="11">
        <v>0.35</v>
      </c>
    </row>
    <row r="15" spans="2:12">
      <c r="B15" t="s">
        <v>15</v>
      </c>
      <c r="D15" s="12"/>
    </row>
    <row r="16" spans="2:12" ht="17" thickBot="1">
      <c r="C16" t="s">
        <v>47</v>
      </c>
      <c r="D16" s="39">
        <v>0.08</v>
      </c>
    </row>
    <row r="17" spans="2:18" ht="17" thickBot="1">
      <c r="C17" t="s">
        <v>16</v>
      </c>
      <c r="D17" s="40">
        <v>0.7</v>
      </c>
      <c r="H17" s="13" t="s">
        <v>17</v>
      </c>
      <c r="I17" s="14">
        <v>80</v>
      </c>
    </row>
    <row r="18" spans="2:18">
      <c r="C18" t="s">
        <v>18</v>
      </c>
      <c r="D18" s="15">
        <v>67</v>
      </c>
    </row>
    <row r="20" spans="2:18">
      <c r="B20" t="s">
        <v>19</v>
      </c>
      <c r="E20" t="s">
        <v>20</v>
      </c>
      <c r="F20" t="s">
        <v>20</v>
      </c>
      <c r="J20" t="s">
        <v>21</v>
      </c>
      <c r="O20" t="s">
        <v>22</v>
      </c>
      <c r="R20" s="16"/>
    </row>
    <row r="21" spans="2:18">
      <c r="C21" t="s">
        <v>10</v>
      </c>
      <c r="D21" t="s">
        <v>23</v>
      </c>
      <c r="E21" t="s">
        <v>24</v>
      </c>
      <c r="F21" t="s">
        <v>25</v>
      </c>
      <c r="G21" t="s">
        <v>26</v>
      </c>
      <c r="H21" t="s">
        <v>27</v>
      </c>
      <c r="J21" t="s">
        <v>10</v>
      </c>
      <c r="K21" t="s">
        <v>28</v>
      </c>
      <c r="L21" t="s">
        <v>29</v>
      </c>
      <c r="M21" t="s">
        <v>30</v>
      </c>
      <c r="N21" t="s">
        <v>31</v>
      </c>
      <c r="O21" t="s">
        <v>32</v>
      </c>
      <c r="Q21" s="10"/>
    </row>
    <row r="22" spans="2:18">
      <c r="C22" s="17">
        <v>40</v>
      </c>
      <c r="D22" s="17">
        <v>100000</v>
      </c>
      <c r="E22" s="18">
        <v>10000</v>
      </c>
      <c r="F22" s="18">
        <v>8000</v>
      </c>
      <c r="G22" s="17">
        <v>120000</v>
      </c>
      <c r="H22" s="18">
        <v>146400</v>
      </c>
      <c r="J22" s="16">
        <v>67</v>
      </c>
      <c r="K22" s="17">
        <v>155490.23038991101</v>
      </c>
      <c r="L22" s="18">
        <v>239215.73906140155</v>
      </c>
      <c r="M22" s="17">
        <v>2760270.4132580538</v>
      </c>
      <c r="N22" s="18">
        <v>2659068.194859555</v>
      </c>
      <c r="O22" s="19">
        <v>0</v>
      </c>
      <c r="Q22" s="20"/>
    </row>
    <row r="23" spans="2:18">
      <c r="C23" s="18">
        <v>41</v>
      </c>
      <c r="D23" s="18">
        <v>103000</v>
      </c>
      <c r="E23" s="18">
        <v>10300</v>
      </c>
      <c r="F23" s="18">
        <v>8240</v>
      </c>
      <c r="G23" s="17">
        <v>146400</v>
      </c>
      <c r="H23" s="18">
        <v>175188</v>
      </c>
      <c r="J23" s="41">
        <v>68</v>
      </c>
      <c r="K23" s="18">
        <v>160154.93730160836</v>
      </c>
      <c r="L23" s="18">
        <v>246392.21123324361</v>
      </c>
      <c r="M23" s="18">
        <v>2659068.194859555</v>
      </c>
      <c r="N23" s="18">
        <v>2545629.3933692891</v>
      </c>
      <c r="O23" s="19">
        <v>0</v>
      </c>
      <c r="Q23" s="20"/>
    </row>
    <row r="24" spans="2:18">
      <c r="C24" s="18">
        <v>42</v>
      </c>
      <c r="D24" s="18">
        <v>106090</v>
      </c>
      <c r="E24" s="18">
        <v>10609</v>
      </c>
      <c r="F24" s="18">
        <v>8487.2000000000007</v>
      </c>
      <c r="G24" s="17">
        <v>175188</v>
      </c>
      <c r="H24" s="18">
        <v>206547.36000000002</v>
      </c>
      <c r="J24" s="41">
        <v>69</v>
      </c>
      <c r="K24" s="18">
        <v>164959.5854206566</v>
      </c>
      <c r="L24" s="18">
        <v>253783.97757024091</v>
      </c>
      <c r="M24" s="18">
        <v>2545629.3933692891</v>
      </c>
      <c r="N24" s="18">
        <v>2419126.885467513</v>
      </c>
      <c r="O24" s="19">
        <v>0</v>
      </c>
      <c r="Q24" s="20"/>
    </row>
    <row r="25" spans="2:18">
      <c r="C25" s="18">
        <v>43</v>
      </c>
      <c r="D25" s="18">
        <v>109272.7</v>
      </c>
      <c r="E25" s="18">
        <v>10927.27</v>
      </c>
      <c r="F25" s="18">
        <v>8741.8160000000007</v>
      </c>
      <c r="G25" s="17">
        <v>206547.36000000002</v>
      </c>
      <c r="H25" s="18">
        <v>240674.76120000001</v>
      </c>
      <c r="J25" s="41">
        <v>70</v>
      </c>
      <c r="K25" s="18">
        <v>169908.37298327629</v>
      </c>
      <c r="L25" s="18">
        <v>261397.49689734814</v>
      </c>
      <c r="M25" s="18">
        <v>2419126.885467513</v>
      </c>
      <c r="N25" s="18">
        <v>2278685.7328435406</v>
      </c>
      <c r="O25" s="19">
        <v>0</v>
      </c>
      <c r="Q25" s="20"/>
    </row>
    <row r="26" spans="2:18">
      <c r="C26" s="18">
        <v>44</v>
      </c>
      <c r="D26" s="18">
        <v>112550.88099999999</v>
      </c>
      <c r="E26" s="18">
        <v>11255.088100000001</v>
      </c>
      <c r="F26" s="18">
        <v>9004.0704800000003</v>
      </c>
      <c r="G26" s="17">
        <v>240674.76120000001</v>
      </c>
      <c r="H26" s="18">
        <v>277781.15306400001</v>
      </c>
      <c r="J26" s="41">
        <v>71</v>
      </c>
      <c r="K26" s="18">
        <v>175005.62417277458</v>
      </c>
      <c r="L26" s="18">
        <v>269239.42180426855</v>
      </c>
      <c r="M26" s="18">
        <v>2278685.7328435406</v>
      </c>
      <c r="N26" s="18">
        <v>2123380.5976814493</v>
      </c>
      <c r="O26" s="19">
        <v>0</v>
      </c>
      <c r="Q26" s="20"/>
    </row>
    <row r="27" spans="2:18">
      <c r="C27" s="18">
        <v>45</v>
      </c>
      <c r="D27" s="18">
        <v>115927.40742999999</v>
      </c>
      <c r="E27" s="18">
        <v>11592.740743</v>
      </c>
      <c r="F27" s="18">
        <v>9274.1925943999995</v>
      </c>
      <c r="G27" s="17">
        <v>277781.15306400001</v>
      </c>
      <c r="H27" s="18">
        <v>318092.76711588004</v>
      </c>
      <c r="J27" s="41">
        <v>72</v>
      </c>
      <c r="K27" s="18">
        <v>180255.79289795781</v>
      </c>
      <c r="L27" s="18">
        <v>277316.60445839661</v>
      </c>
      <c r="M27" s="18">
        <v>2123380.5976814493</v>
      </c>
      <c r="N27" s="18">
        <v>1952233.0231071252</v>
      </c>
      <c r="O27" s="19">
        <v>0</v>
      </c>
      <c r="Q27" s="20"/>
    </row>
    <row r="28" spans="2:18">
      <c r="C28" s="18">
        <v>46</v>
      </c>
      <c r="D28" s="18">
        <v>119405.2296529</v>
      </c>
      <c r="E28" s="18">
        <v>11940.522965290002</v>
      </c>
      <c r="F28" s="18">
        <v>9552.4183722319995</v>
      </c>
      <c r="G28" s="17">
        <v>318092.76711588004</v>
      </c>
      <c r="H28" s="18">
        <v>361852.20215151366</v>
      </c>
      <c r="J28" s="41">
        <v>73</v>
      </c>
      <c r="K28" s="18">
        <v>185663.46668489656</v>
      </c>
      <c r="L28" s="18">
        <v>285636.10259214853</v>
      </c>
      <c r="M28" s="18">
        <v>1952233.0231071252</v>
      </c>
      <c r="N28" s="18">
        <v>1764208.5716703329</v>
      </c>
      <c r="O28" s="19">
        <v>0</v>
      </c>
      <c r="Q28" s="20"/>
    </row>
    <row r="29" spans="2:18">
      <c r="C29" s="18">
        <v>47</v>
      </c>
      <c r="D29" s="18">
        <v>122987.386542487</v>
      </c>
      <c r="E29" s="18">
        <v>12298.7386542487</v>
      </c>
      <c r="F29" s="18">
        <v>9838.9909233989601</v>
      </c>
      <c r="G29" s="17">
        <v>361852.20215151366</v>
      </c>
      <c r="H29" s="18">
        <v>409319.58587976726</v>
      </c>
      <c r="J29" s="41">
        <v>74</v>
      </c>
      <c r="K29" s="18">
        <v>191233.37068544346</v>
      </c>
      <c r="L29" s="18">
        <v>294205.18566991301</v>
      </c>
      <c r="M29" s="18">
        <v>1764208.5716703329</v>
      </c>
      <c r="N29" s="18">
        <v>1558213.8145839367</v>
      </c>
      <c r="O29" s="19">
        <v>0</v>
      </c>
      <c r="Q29" s="20"/>
    </row>
    <row r="30" spans="2:18">
      <c r="C30" s="18">
        <v>48</v>
      </c>
      <c r="D30" s="18">
        <v>126677.00813876161</v>
      </c>
      <c r="E30" s="18">
        <v>12667.700813876161</v>
      </c>
      <c r="F30" s="18">
        <v>10134.160651100929</v>
      </c>
      <c r="G30" s="17">
        <v>409319.58587976726</v>
      </c>
      <c r="H30" s="18">
        <v>460773.81835632806</v>
      </c>
      <c r="J30" s="41">
        <v>75</v>
      </c>
      <c r="K30" s="18">
        <v>196970.37180600676</v>
      </c>
      <c r="L30" s="18">
        <v>303031.3412400104</v>
      </c>
      <c r="M30" s="18">
        <v>1558213.8145839367</v>
      </c>
      <c r="N30" s="18">
        <v>1333093.1640731231</v>
      </c>
      <c r="O30" s="19">
        <v>0</v>
      </c>
      <c r="Q30" s="20"/>
    </row>
    <row r="31" spans="2:18">
      <c r="C31" s="18">
        <v>49</v>
      </c>
      <c r="D31" s="18">
        <v>130477.31838292447</v>
      </c>
      <c r="E31" s="18">
        <v>13047.731838292448</v>
      </c>
      <c r="F31" s="18">
        <v>10438.185470633958</v>
      </c>
      <c r="G31" s="17">
        <v>460773.81835632806</v>
      </c>
      <c r="H31" s="18">
        <v>516513.90295019746</v>
      </c>
      <c r="J31" s="41">
        <v>76</v>
      </c>
      <c r="K31" s="18">
        <v>202879.48296018696</v>
      </c>
      <c r="L31" s="18">
        <v>312122.28147721069</v>
      </c>
      <c r="M31" s="18">
        <v>1333093.1640731231</v>
      </c>
      <c r="N31" s="18">
        <v>1087625.5407995689</v>
      </c>
      <c r="O31" s="19">
        <v>0</v>
      </c>
      <c r="Q31" s="20"/>
    </row>
    <row r="32" spans="2:18">
      <c r="C32" s="18">
        <v>50</v>
      </c>
      <c r="D32" s="18">
        <v>134391.6379344122</v>
      </c>
      <c r="E32" s="18">
        <v>13439.163793441221</v>
      </c>
      <c r="F32" s="18">
        <v>10751.331034752975</v>
      </c>
      <c r="G32" s="17">
        <v>516513.90295019746</v>
      </c>
      <c r="H32" s="18">
        <v>576860.37098490563</v>
      </c>
      <c r="J32" s="41">
        <v>77</v>
      </c>
      <c r="K32" s="18">
        <v>208965.86744899256</v>
      </c>
      <c r="L32" s="18">
        <v>321485.949921527</v>
      </c>
      <c r="M32" s="18">
        <v>1087625.5407995689</v>
      </c>
      <c r="N32" s="18">
        <v>820520.86791802035</v>
      </c>
      <c r="O32" s="19">
        <v>0</v>
      </c>
      <c r="Q32" s="20"/>
    </row>
    <row r="33" spans="3:17">
      <c r="C33" s="18">
        <v>51</v>
      </c>
      <c r="D33" s="18">
        <v>138423.38707244457</v>
      </c>
      <c r="E33" s="18">
        <v>13842.338707244458</v>
      </c>
      <c r="F33" s="18">
        <v>11073.870965795566</v>
      </c>
      <c r="G33" s="17">
        <v>576860.37098490563</v>
      </c>
      <c r="H33" s="18">
        <v>642156.80662688916</v>
      </c>
      <c r="J33" s="41">
        <v>78</v>
      </c>
      <c r="K33" s="18">
        <v>215234.84347246235</v>
      </c>
      <c r="L33" s="18">
        <v>331130.52841917286</v>
      </c>
      <c r="M33" s="18">
        <v>820520.86791802035</v>
      </c>
      <c r="N33" s="18">
        <v>530416.38289474859</v>
      </c>
      <c r="O33" s="19">
        <v>0</v>
      </c>
      <c r="Q33" s="20"/>
    </row>
    <row r="34" spans="3:17">
      <c r="C34" s="18">
        <v>52</v>
      </c>
      <c r="D34" s="18">
        <v>142576.08868461792</v>
      </c>
      <c r="E34" s="18">
        <v>14257.608868461793</v>
      </c>
      <c r="F34" s="18">
        <v>11406.087094769433</v>
      </c>
      <c r="G34" s="17">
        <v>642156.80662688916</v>
      </c>
      <c r="H34" s="18">
        <v>712771.47905400267</v>
      </c>
      <c r="J34" s="41">
        <v>79</v>
      </c>
      <c r="K34" s="18">
        <v>221691.88877663622</v>
      </c>
      <c r="L34" s="18">
        <v>341064.44427174801</v>
      </c>
      <c r="M34" s="18">
        <v>530416.38289474859</v>
      </c>
      <c r="N34" s="18">
        <v>215872.75776773802</v>
      </c>
      <c r="O34" s="19">
        <v>0</v>
      </c>
      <c r="Q34" s="20"/>
    </row>
    <row r="35" spans="3:17">
      <c r="C35" s="18">
        <v>53</v>
      </c>
      <c r="D35" s="18">
        <v>146853.37134515645</v>
      </c>
      <c r="E35" s="18">
        <v>14685.337134515647</v>
      </c>
      <c r="F35" s="18">
        <v>11748.269707612517</v>
      </c>
      <c r="G35" s="17">
        <v>712771.47905400267</v>
      </c>
      <c r="H35" s="18">
        <v>789099.08942991099</v>
      </c>
      <c r="J35" s="41">
        <v>80</v>
      </c>
      <c r="K35" s="18">
        <v>228342.6454399353</v>
      </c>
      <c r="L35" s="18">
        <v>351296.37759990041</v>
      </c>
      <c r="M35" s="18">
        <v>215872.75776773802</v>
      </c>
      <c r="N35" s="18">
        <v>-124629.98194377549</v>
      </c>
      <c r="O35" s="19">
        <v>1</v>
      </c>
      <c r="Q35" s="20"/>
    </row>
    <row r="36" spans="3:17">
      <c r="C36" s="18">
        <v>54</v>
      </c>
      <c r="D36" s="18">
        <v>151258.97248551116</v>
      </c>
      <c r="E36" s="18">
        <v>15125.897248551117</v>
      </c>
      <c r="F36" s="18">
        <v>12100.717798840893</v>
      </c>
      <c r="G36" s="17">
        <v>789099.08942991099</v>
      </c>
      <c r="H36" s="18">
        <v>871562.64073739678</v>
      </c>
      <c r="J36" s="41">
        <v>81</v>
      </c>
      <c r="K36" s="18">
        <v>235192.92480313336</v>
      </c>
      <c r="L36" s="18">
        <v>361835.26892789744</v>
      </c>
      <c r="M36" s="18">
        <v>-124629.98194377549</v>
      </c>
      <c r="N36" s="18">
        <v>-492696.7499688617</v>
      </c>
      <c r="O36" s="19">
        <v>1</v>
      </c>
      <c r="Q36" s="20"/>
    </row>
    <row r="37" spans="3:17">
      <c r="C37" s="18">
        <v>55</v>
      </c>
      <c r="D37" s="18">
        <v>155796.74166007648</v>
      </c>
      <c r="E37" s="18">
        <v>15579.67416600765</v>
      </c>
      <c r="F37" s="18">
        <v>12463.739332806119</v>
      </c>
      <c r="G37" s="17">
        <v>871562.64073739678</v>
      </c>
      <c r="H37" s="18">
        <v>960615.43908782839</v>
      </c>
      <c r="J37" s="41">
        <v>82</v>
      </c>
      <c r="K37" s="18">
        <v>242248.71254722736</v>
      </c>
      <c r="L37" s="18">
        <v>372690.32699573442</v>
      </c>
      <c r="M37" s="18">
        <v>-492696.7499688617</v>
      </c>
      <c r="N37" s="18">
        <v>-890021.91446303925</v>
      </c>
      <c r="O37" s="19">
        <v>1</v>
      </c>
      <c r="Q37" s="20"/>
    </row>
    <row r="38" spans="3:17">
      <c r="C38" s="18">
        <v>56</v>
      </c>
      <c r="D38" s="18">
        <v>160470.6439098788</v>
      </c>
      <c r="E38" s="18">
        <v>16047.06439098788</v>
      </c>
      <c r="F38" s="18">
        <v>12837.651512790304</v>
      </c>
      <c r="G38" s="17">
        <v>960615.43908782839</v>
      </c>
      <c r="H38" s="18">
        <v>1056743.2357277547</v>
      </c>
      <c r="J38" s="41">
        <v>83</v>
      </c>
      <c r="K38" s="18">
        <v>249516.17392364418</v>
      </c>
      <c r="L38" s="18">
        <v>383871.03680560639</v>
      </c>
      <c r="M38" s="18">
        <v>-890021.91446303925</v>
      </c>
      <c r="N38" s="18">
        <v>-1318394.0469917976</v>
      </c>
      <c r="O38" s="19">
        <v>1</v>
      </c>
      <c r="Q38" s="20"/>
    </row>
    <row r="39" spans="3:17">
      <c r="C39" s="18">
        <v>57</v>
      </c>
      <c r="D39" s="18">
        <v>165284.76322717516</v>
      </c>
      <c r="E39" s="18">
        <v>16528.476322717517</v>
      </c>
      <c r="F39" s="18">
        <v>13222.781058174014</v>
      </c>
      <c r="G39" s="17">
        <v>1056743.2357277547</v>
      </c>
      <c r="H39" s="18">
        <v>1160466.5196095891</v>
      </c>
      <c r="J39" s="41">
        <v>84</v>
      </c>
      <c r="K39" s="18">
        <v>257001.65914135351</v>
      </c>
      <c r="L39" s="18">
        <v>395387.16790977464</v>
      </c>
      <c r="M39" s="18">
        <v>-1318394.0469917976</v>
      </c>
      <c r="N39" s="18">
        <v>-1779700.9172511622</v>
      </c>
      <c r="O39" s="19">
        <v>1</v>
      </c>
      <c r="Q39" s="20"/>
    </row>
    <row r="40" spans="3:17">
      <c r="C40" s="18">
        <v>58</v>
      </c>
      <c r="D40" s="18">
        <v>170243.30612399042</v>
      </c>
      <c r="E40" s="18">
        <v>17024.330612399044</v>
      </c>
      <c r="F40" s="18">
        <v>13619.464489919234</v>
      </c>
      <c r="G40" s="17">
        <v>1160466.5196095891</v>
      </c>
      <c r="H40" s="18">
        <v>1272342.9710845787</v>
      </c>
      <c r="J40" s="41">
        <v>85</v>
      </c>
      <c r="K40" s="18">
        <v>264711.70891559409</v>
      </c>
      <c r="L40" s="18">
        <v>407248.78294706781</v>
      </c>
      <c r="M40" s="18">
        <v>-1779700.9172511622</v>
      </c>
      <c r="N40" s="18">
        <v>-2275934.7460607882</v>
      </c>
      <c r="O40" s="19">
        <v>1</v>
      </c>
      <c r="Q40" s="20"/>
    </row>
    <row r="41" spans="3:17">
      <c r="C41" s="18">
        <v>59</v>
      </c>
      <c r="D41" s="18">
        <v>175350.60530771012</v>
      </c>
      <c r="E41" s="18">
        <v>17535.060530771014</v>
      </c>
      <c r="F41" s="18">
        <v>14028.048424616811</v>
      </c>
      <c r="G41" s="17">
        <v>1272342.9710845787</v>
      </c>
      <c r="H41" s="18">
        <v>1392970.0880158872</v>
      </c>
      <c r="J41" s="41">
        <v>86</v>
      </c>
      <c r="K41" s="18">
        <v>272653.06018306193</v>
      </c>
      <c r="L41" s="18">
        <v>419466.2464354799</v>
      </c>
      <c r="M41" s="18">
        <v>-2275934.7460607882</v>
      </c>
      <c r="N41" s="18">
        <v>-2809197.7297993074</v>
      </c>
      <c r="O41" s="19">
        <v>1</v>
      </c>
      <c r="Q41" s="21"/>
    </row>
    <row r="42" spans="3:17">
      <c r="C42" s="18">
        <v>60</v>
      </c>
      <c r="D42" s="18">
        <v>180611.12346694144</v>
      </c>
      <c r="E42" s="18">
        <v>18061.112346694146</v>
      </c>
      <c r="F42" s="18">
        <v>14448.889877355316</v>
      </c>
      <c r="G42" s="17">
        <v>1392970.0880158872</v>
      </c>
      <c r="H42" s="18">
        <v>1522987.996401049</v>
      </c>
      <c r="J42" s="41">
        <v>87</v>
      </c>
      <c r="K42" s="18">
        <v>280832.65198855381</v>
      </c>
      <c r="L42" s="18">
        <v>432050.23382854433</v>
      </c>
      <c r="M42" s="18">
        <v>-2809197.7297993074</v>
      </c>
      <c r="N42" s="18">
        <v>-3381707.8501178171</v>
      </c>
      <c r="O42" s="19">
        <v>1</v>
      </c>
      <c r="Q42" s="21"/>
    </row>
    <row r="43" spans="3:17">
      <c r="C43" s="18">
        <v>61</v>
      </c>
      <c r="D43" s="18">
        <v>186029.4571709497</v>
      </c>
      <c r="E43" s="18">
        <v>18602.945717094972</v>
      </c>
      <c r="F43" s="18">
        <v>14882.356573675976</v>
      </c>
      <c r="G43" s="17">
        <v>1522987.996401049</v>
      </c>
      <c r="H43" s="18">
        <v>1663082.4584398933</v>
      </c>
      <c r="J43" s="41">
        <v>88</v>
      </c>
      <c r="K43" s="18">
        <v>289257.63154821045</v>
      </c>
      <c r="L43" s="18">
        <v>445011.74084340071</v>
      </c>
      <c r="M43" s="18">
        <v>-3381707.8501178171</v>
      </c>
      <c r="N43" s="18">
        <v>-3995804.983467109</v>
      </c>
      <c r="O43" s="19">
        <v>1</v>
      </c>
      <c r="Q43" s="21"/>
    </row>
    <row r="44" spans="3:17">
      <c r="C44" s="18">
        <v>62</v>
      </c>
      <c r="D44" s="18">
        <v>191610.34088607819</v>
      </c>
      <c r="E44" s="18">
        <v>19161.034088607819</v>
      </c>
      <c r="F44" s="18">
        <v>15328.827270886255</v>
      </c>
      <c r="G44" s="17">
        <v>1663082.4584398933</v>
      </c>
      <c r="H44" s="18">
        <v>1813988.09189018</v>
      </c>
      <c r="J44" s="41">
        <v>89</v>
      </c>
      <c r="K44" s="18">
        <v>297935.36049465678</v>
      </c>
      <c r="L44" s="18">
        <v>458362.09306870273</v>
      </c>
      <c r="M44" s="18">
        <v>-3995804.983467109</v>
      </c>
      <c r="N44" s="18">
        <v>-4653957.3257091679</v>
      </c>
      <c r="O44" s="19">
        <v>1</v>
      </c>
      <c r="Q44" s="21"/>
    </row>
    <row r="45" spans="3:17">
      <c r="C45" s="18">
        <v>63</v>
      </c>
      <c r="D45" s="18">
        <v>197358.65111266053</v>
      </c>
      <c r="E45" s="18">
        <v>19735.865111266055</v>
      </c>
      <c r="F45" s="18">
        <v>15788.692089012842</v>
      </c>
      <c r="G45" s="17">
        <v>1813988.09189018</v>
      </c>
      <c r="H45" s="18">
        <v>1976491.8155227716</v>
      </c>
      <c r="J45" s="41">
        <v>90</v>
      </c>
      <c r="K45" s="18">
        <v>306873.42130949651</v>
      </c>
      <c r="L45" s="18">
        <v>472112.95586076385</v>
      </c>
      <c r="M45" s="18">
        <v>-4653957.3257091679</v>
      </c>
      <c r="N45" s="18">
        <v>-5358768.1478553899</v>
      </c>
      <c r="O45" s="19">
        <v>1</v>
      </c>
      <c r="Q45" s="21"/>
    </row>
    <row r="46" spans="3:17">
      <c r="C46" s="18">
        <v>64</v>
      </c>
      <c r="D46" s="18">
        <v>203279.41064604034</v>
      </c>
      <c r="E46" s="18">
        <v>20327.941064604034</v>
      </c>
      <c r="F46" s="18">
        <v>16262.352851683228</v>
      </c>
      <c r="G46" s="17">
        <v>1976491.8155227716</v>
      </c>
      <c r="H46" s="18">
        <v>2151436.5365256532</v>
      </c>
      <c r="J46" s="41">
        <v>91</v>
      </c>
      <c r="K46" s="18">
        <v>316079.6239487814</v>
      </c>
      <c r="L46" s="18">
        <v>486276.34453658678</v>
      </c>
      <c r="M46" s="18">
        <v>-5358768.1478553899</v>
      </c>
      <c r="N46" s="18">
        <v>-6112982.8997847466</v>
      </c>
      <c r="O46" s="19">
        <v>1</v>
      </c>
      <c r="Q46" s="21"/>
    </row>
    <row r="47" spans="3:17">
      <c r="C47" s="18">
        <v>65</v>
      </c>
      <c r="D47" s="18">
        <v>209377.79296542157</v>
      </c>
      <c r="E47" s="18">
        <v>20937.779296542158</v>
      </c>
      <c r="F47" s="18">
        <v>16750.223437233726</v>
      </c>
      <c r="G47" s="17">
        <v>2151436.5365256532</v>
      </c>
      <c r="H47" s="18">
        <v>2339725.096816225</v>
      </c>
      <c r="J47" s="41">
        <v>92</v>
      </c>
      <c r="K47" s="18">
        <v>325562.01266724482</v>
      </c>
      <c r="L47" s="18">
        <v>500864.63487268431</v>
      </c>
      <c r="M47" s="18">
        <v>-6112982.8997847466</v>
      </c>
      <c r="N47" s="18">
        <v>-6919496.679646668</v>
      </c>
      <c r="O47" s="19">
        <v>1</v>
      </c>
      <c r="Q47" s="21"/>
    </row>
    <row r="48" spans="3:17">
      <c r="C48" s="18">
        <v>66</v>
      </c>
      <c r="D48" s="18">
        <v>215659.12675438423</v>
      </c>
      <c r="E48" s="18">
        <v>21565.912675438423</v>
      </c>
      <c r="F48" s="18">
        <v>17252.730140350737</v>
      </c>
      <c r="G48" s="17">
        <v>2339725.096816225</v>
      </c>
      <c r="H48" s="18">
        <v>2542324.4964091503</v>
      </c>
      <c r="J48" s="41">
        <v>93</v>
      </c>
      <c r="K48" s="18">
        <v>335328.8730472622</v>
      </c>
      <c r="L48" s="18">
        <v>515890.57391886489</v>
      </c>
      <c r="M48" s="18">
        <v>-6919496.679646668</v>
      </c>
      <c r="N48" s="18">
        <v>-7781362.0875478666</v>
      </c>
      <c r="O48" s="19">
        <v>1</v>
      </c>
      <c r="Q48" s="21"/>
    </row>
    <row r="49" spans="3:17">
      <c r="C49" s="18">
        <v>67</v>
      </c>
      <c r="D49" s="18">
        <v>222128.90055701576</v>
      </c>
      <c r="E49" s="18">
        <v>22212.890055701577</v>
      </c>
      <c r="F49" s="18">
        <v>17770.312044561262</v>
      </c>
      <c r="G49" s="17">
        <v>2542324.4964091503</v>
      </c>
      <c r="H49" s="18">
        <v>2760270.4132580538</v>
      </c>
      <c r="J49" s="41">
        <v>94</v>
      </c>
      <c r="K49" s="18">
        <v>345388.73923868005</v>
      </c>
      <c r="L49" s="18">
        <v>531367.29113643081</v>
      </c>
      <c r="M49" s="18">
        <v>-7781362.0875478666</v>
      </c>
      <c r="N49" s="18">
        <v>-8701797.4830616917</v>
      </c>
      <c r="O49" s="19">
        <v>1</v>
      </c>
      <c r="Q49" s="21"/>
    </row>
    <row r="50" spans="3:17">
      <c r="C50" s="18">
        <v>68</v>
      </c>
      <c r="D50" s="18">
        <v>228792.76757372625</v>
      </c>
      <c r="E50" s="18">
        <v>22879.276757372627</v>
      </c>
      <c r="F50" s="18">
        <v>18303.421405898102</v>
      </c>
      <c r="G50" s="17">
        <v>2760270.4132580538</v>
      </c>
      <c r="H50" s="18">
        <v>2994672.040349388</v>
      </c>
      <c r="J50" s="41">
        <v>95</v>
      </c>
      <c r="K50" s="18">
        <v>355750.40141584043</v>
      </c>
      <c r="L50" s="18">
        <v>547308.30987052375</v>
      </c>
      <c r="M50" s="18">
        <v>-8701797.4830616917</v>
      </c>
      <c r="N50" s="18">
        <v>-9684195.6670853011</v>
      </c>
      <c r="O50" s="19">
        <v>1</v>
      </c>
      <c r="Q50" s="21"/>
    </row>
    <row r="51" spans="3:17">
      <c r="C51" s="18">
        <v>69</v>
      </c>
      <c r="D51" s="18">
        <v>235656.55060093803</v>
      </c>
      <c r="E51" s="18">
        <v>23565.655060093806</v>
      </c>
      <c r="F51" s="18">
        <v>18852.524048075044</v>
      </c>
      <c r="G51" s="17">
        <v>2994672.040349388</v>
      </c>
      <c r="H51" s="18">
        <v>3246717.2622820144</v>
      </c>
      <c r="J51" s="41">
        <v>96</v>
      </c>
      <c r="K51" s="18">
        <v>366422.91345831566</v>
      </c>
      <c r="L51" s="18">
        <v>563727.55916663946</v>
      </c>
      <c r="M51" s="18">
        <v>-9684195.6670853011</v>
      </c>
      <c r="N51" s="18">
        <v>-10732133.009606207</v>
      </c>
      <c r="O51" s="19">
        <v>1</v>
      </c>
      <c r="Q51" s="21"/>
    </row>
    <row r="52" spans="3:17">
      <c r="C52" s="18">
        <v>70</v>
      </c>
      <c r="D52" s="18">
        <v>242726.24711896619</v>
      </c>
      <c r="E52" s="18">
        <v>24272.62471189662</v>
      </c>
      <c r="F52" s="18">
        <v>19418.099769517295</v>
      </c>
      <c r="G52" s="17">
        <v>3246717.2622820144</v>
      </c>
      <c r="H52" s="18">
        <v>3517678.1951231696</v>
      </c>
      <c r="J52" s="41">
        <v>97</v>
      </c>
      <c r="K52" s="18">
        <v>377415.60086206516</v>
      </c>
      <c r="L52" s="18">
        <v>580639.38594163873</v>
      </c>
      <c r="M52" s="18">
        <v>-10732133.009606207</v>
      </c>
      <c r="N52" s="18">
        <v>-11849379.046028158</v>
      </c>
      <c r="O52" s="19">
        <v>1</v>
      </c>
      <c r="Q52" s="21"/>
    </row>
    <row r="53" spans="3:17">
      <c r="C53" s="18">
        <v>71</v>
      </c>
      <c r="D53" s="18">
        <v>250008.03453253518</v>
      </c>
      <c r="E53" s="18">
        <v>25000.80345325352</v>
      </c>
      <c r="F53" s="18">
        <v>20000.642762602816</v>
      </c>
      <c r="G53" s="17">
        <v>3517678.1951231696</v>
      </c>
      <c r="H53" s="18">
        <v>3808917.1149976482</v>
      </c>
      <c r="J53" s="41">
        <v>98</v>
      </c>
      <c r="K53" s="18">
        <v>388738.0688879271</v>
      </c>
      <c r="L53" s="18">
        <v>598058.56751988782</v>
      </c>
      <c r="M53" s="18">
        <v>-11849379.046028158</v>
      </c>
      <c r="N53" s="18">
        <v>-13039906.565849455</v>
      </c>
      <c r="O53" s="19">
        <v>1</v>
      </c>
      <c r="Q53" s="21"/>
    </row>
    <row r="54" spans="3:17">
      <c r="C54" s="18">
        <v>72</v>
      </c>
      <c r="D54" s="18">
        <v>257508.27556851125</v>
      </c>
      <c r="E54" s="18">
        <v>25750.827556851127</v>
      </c>
      <c r="F54" s="18">
        <v>20600.662045480902</v>
      </c>
      <c r="G54" s="17">
        <v>3808917.1149976482</v>
      </c>
      <c r="H54" s="18">
        <v>4121892.8026498156</v>
      </c>
      <c r="J54" s="41">
        <v>99</v>
      </c>
      <c r="K54" s="18">
        <v>400400.21095456491</v>
      </c>
      <c r="L54" s="18">
        <v>616000.3245454845</v>
      </c>
      <c r="M54" s="18">
        <v>-13039906.565849455</v>
      </c>
      <c r="N54" s="18">
        <v>-14307902.218687413</v>
      </c>
      <c r="O54" s="19">
        <v>1</v>
      </c>
    </row>
    <row r="55" spans="3:17">
      <c r="C55" s="18">
        <v>73</v>
      </c>
      <c r="D55" s="18">
        <v>265233.52383556659</v>
      </c>
      <c r="E55" s="18">
        <v>26523.352383556659</v>
      </c>
      <c r="F55" s="18">
        <v>21218.68190684533</v>
      </c>
      <c r="G55" s="17">
        <v>4121892.8026498156</v>
      </c>
      <c r="H55" s="18">
        <v>4458167.3331257049</v>
      </c>
      <c r="J55" s="41">
        <v>100</v>
      </c>
      <c r="K55" s="18">
        <v>412412.21728320187</v>
      </c>
      <c r="L55" s="18">
        <v>634480.33428184898</v>
      </c>
      <c r="M55" s="18">
        <v>-14307902.218687413</v>
      </c>
      <c r="N55" s="18">
        <v>-15657777.663903633</v>
      </c>
      <c r="O55" s="19">
        <v>1</v>
      </c>
    </row>
    <row r="56" spans="3:17">
      <c r="C56" s="18">
        <v>74</v>
      </c>
      <c r="D56" s="18">
        <v>273190.52955063363</v>
      </c>
      <c r="E56" s="18">
        <v>27319.052955063366</v>
      </c>
      <c r="F56" s="18">
        <v>21855.24236405069</v>
      </c>
      <c r="G56" s="17">
        <v>4458167.3331257049</v>
      </c>
      <c r="H56" s="18">
        <v>4819413.3417636184</v>
      </c>
      <c r="J56" s="41">
        <v>101</v>
      </c>
      <c r="K56" s="18">
        <v>424784.58380169794</v>
      </c>
      <c r="L56" s="18">
        <v>653514.74431030452</v>
      </c>
      <c r="M56" s="18">
        <v>-15657777.663903633</v>
      </c>
      <c r="N56" s="18">
        <v>-17094181.29140912</v>
      </c>
      <c r="O56" s="19">
        <v>1</v>
      </c>
    </row>
    <row r="57" spans="3:17">
      <c r="C57" s="18">
        <v>75</v>
      </c>
      <c r="D57" s="18">
        <v>281386.24543715263</v>
      </c>
      <c r="E57" s="18">
        <v>28138.624543715265</v>
      </c>
      <c r="F57" s="18">
        <v>22510.899634972211</v>
      </c>
      <c r="G57" s="17">
        <v>4819413.3417636184</v>
      </c>
      <c r="H57" s="18">
        <v>5207421.7998657599</v>
      </c>
      <c r="J57" s="41">
        <v>102</v>
      </c>
      <c r="K57" s="18">
        <v>437528.1213157489</v>
      </c>
      <c r="L57" s="18">
        <v>673120.1866396137</v>
      </c>
      <c r="M57" s="18">
        <v>-17094181.29140912</v>
      </c>
      <c r="N57" s="18">
        <v>-18622010.542619191</v>
      </c>
      <c r="O57" s="19">
        <v>1</v>
      </c>
    </row>
    <row r="58" spans="3:17">
      <c r="C58" s="18">
        <v>76</v>
      </c>
      <c r="D58" s="18">
        <v>289827.83280026721</v>
      </c>
      <c r="E58" s="18">
        <v>28982.783280026721</v>
      </c>
      <c r="F58" s="18">
        <v>23186.226624021376</v>
      </c>
      <c r="G58" s="17">
        <v>5207421.7998657599</v>
      </c>
      <c r="H58" s="18">
        <v>5624110.3357604118</v>
      </c>
      <c r="J58" s="41">
        <v>103</v>
      </c>
      <c r="K58" s="18">
        <v>450653.9649552214</v>
      </c>
      <c r="L58" s="18">
        <v>693313.79223880207</v>
      </c>
      <c r="M58" s="18">
        <v>-18622010.542619191</v>
      </c>
      <c r="N58" s="18">
        <v>-20246424.861988954</v>
      </c>
      <c r="O58" s="19">
        <v>1</v>
      </c>
    </row>
    <row r="59" spans="3:17">
      <c r="C59" s="18">
        <v>77</v>
      </c>
      <c r="D59" s="18">
        <v>298522.66778427525</v>
      </c>
      <c r="E59" s="18">
        <v>29852.266778427525</v>
      </c>
      <c r="F59" s="18">
        <v>23881.81342274202</v>
      </c>
      <c r="G59" s="17">
        <v>5624110.3357604118</v>
      </c>
      <c r="H59" s="18">
        <v>6071532.1394648105</v>
      </c>
      <c r="J59" s="41">
        <v>104</v>
      </c>
      <c r="K59" s="18">
        <v>464173.58390387805</v>
      </c>
      <c r="L59" s="18">
        <v>714113.20600596617</v>
      </c>
      <c r="M59" s="18">
        <v>-20246424.861988954</v>
      </c>
      <c r="N59" s="18">
        <v>-21972859.311094366</v>
      </c>
      <c r="O59" s="19">
        <v>1</v>
      </c>
    </row>
    <row r="60" spans="3:17">
      <c r="C60" s="18">
        <v>78</v>
      </c>
      <c r="D60" s="18">
        <v>307478.3478178035</v>
      </c>
      <c r="E60" s="18">
        <v>30747.834781780351</v>
      </c>
      <c r="F60" s="18">
        <v>24598.267825424282</v>
      </c>
      <c r="G60" s="17">
        <v>6071532.1394648105</v>
      </c>
      <c r="H60" s="18">
        <v>6551885.491834552</v>
      </c>
      <c r="J60" s="41">
        <v>105</v>
      </c>
      <c r="K60" s="18">
        <v>478098.79142099438</v>
      </c>
      <c r="L60" s="18">
        <v>735536.60218614514</v>
      </c>
      <c r="M60" s="18">
        <v>-21972859.311094366</v>
      </c>
      <c r="N60" s="18">
        <v>-23807038.878835227</v>
      </c>
      <c r="O60" s="19">
        <v>1</v>
      </c>
    </row>
    <row r="61" spans="3:17">
      <c r="C61" s="18">
        <v>79</v>
      </c>
      <c r="D61" s="18">
        <v>316702.69825233764</v>
      </c>
      <c r="E61" s="18">
        <v>31670.269825233765</v>
      </c>
      <c r="F61" s="18">
        <v>25336.215860187011</v>
      </c>
      <c r="G61" s="17">
        <v>6551885.491834552</v>
      </c>
      <c r="H61" s="18">
        <v>7067523.961948392</v>
      </c>
      <c r="J61" s="41">
        <v>106</v>
      </c>
      <c r="K61" s="18">
        <v>492441.75516362424</v>
      </c>
      <c r="L61" s="18">
        <v>757602.70025172958</v>
      </c>
      <c r="M61" s="18">
        <v>-23807038.878835227</v>
      </c>
      <c r="N61" s="18">
        <v>-25754993.523028716</v>
      </c>
      <c r="O61" s="19">
        <v>1</v>
      </c>
    </row>
    <row r="62" spans="3:17">
      <c r="C62" s="18">
        <v>80</v>
      </c>
      <c r="D62" s="18">
        <v>326203.77919990779</v>
      </c>
      <c r="E62" s="18">
        <v>32620.37791999078</v>
      </c>
      <c r="F62" s="18">
        <v>26096.302335992623</v>
      </c>
      <c r="G62" s="17">
        <v>7067523.961948392</v>
      </c>
      <c r="H62" s="18">
        <v>7620967.3195407633</v>
      </c>
      <c r="J62" s="41">
        <v>107</v>
      </c>
      <c r="K62" s="18">
        <v>507215.00781853299</v>
      </c>
      <c r="L62" s="18">
        <v>780330.78125928144</v>
      </c>
      <c r="M62" s="18">
        <v>-25754993.523028716</v>
      </c>
      <c r="N62" s="18">
        <v>-27823073.980439432</v>
      </c>
      <c r="O62" s="19">
        <v>1</v>
      </c>
    </row>
    <row r="63" spans="3:17">
      <c r="C63" s="18">
        <v>81</v>
      </c>
      <c r="D63" s="18">
        <v>335989.89257590502</v>
      </c>
      <c r="E63" s="18">
        <v>33598.989257590503</v>
      </c>
      <c r="F63" s="18">
        <v>26879.191406072401</v>
      </c>
      <c r="G63" s="17">
        <v>7620967.3195407633</v>
      </c>
      <c r="H63" s="18">
        <v>8214913.2125722803</v>
      </c>
      <c r="J63" s="41">
        <v>108</v>
      </c>
      <c r="K63" s="18">
        <v>522431.45805308898</v>
      </c>
      <c r="L63" s="18">
        <v>803740.70469705993</v>
      </c>
      <c r="M63" s="18">
        <v>-27823073.980439432</v>
      </c>
      <c r="N63" s="18">
        <v>-30017968.384158466</v>
      </c>
      <c r="O63" s="19">
        <v>1</v>
      </c>
    </row>
    <row r="64" spans="3:17">
      <c r="C64" s="18">
        <v>82</v>
      </c>
      <c r="D64" s="18">
        <v>346069.58935318218</v>
      </c>
      <c r="E64" s="18">
        <v>34606.958935318216</v>
      </c>
      <c r="F64" s="18">
        <v>27685.567148254573</v>
      </c>
      <c r="G64" s="17">
        <v>8214913.2125722803</v>
      </c>
      <c r="H64" s="18">
        <v>8852249.6635359135</v>
      </c>
      <c r="J64" s="41">
        <v>109</v>
      </c>
      <c r="K64" s="18">
        <v>538104.40179468167</v>
      </c>
      <c r="L64" s="18">
        <v>827852.92583797174</v>
      </c>
      <c r="M64" s="18">
        <v>-30017968.384158466</v>
      </c>
      <c r="N64" s="18">
        <v>-32346719.72920436</v>
      </c>
      <c r="O64" s="19">
        <v>1</v>
      </c>
    </row>
    <row r="65" spans="3:15">
      <c r="C65" s="18">
        <v>83</v>
      </c>
      <c r="D65" s="18">
        <v>356451.67703377764</v>
      </c>
      <c r="E65" s="18">
        <v>35645.167703377767</v>
      </c>
      <c r="F65" s="18">
        <v>28516.134162702212</v>
      </c>
      <c r="G65" s="17">
        <v>8852249.6635359135</v>
      </c>
      <c r="H65" s="18">
        <v>9536068.4418495074</v>
      </c>
      <c r="J65" s="41">
        <v>110</v>
      </c>
      <c r="K65" s="18">
        <v>554247.53384852211</v>
      </c>
      <c r="L65" s="18">
        <v>852688.51361311087</v>
      </c>
      <c r="M65" s="18">
        <v>-32346719.72920436</v>
      </c>
      <c r="N65" s="18">
        <v>-34816744.229277693</v>
      </c>
      <c r="O65" s="19">
        <v>1</v>
      </c>
    </row>
    <row r="66" spans="3:15">
      <c r="C66" s="18">
        <v>84</v>
      </c>
      <c r="D66" s="18">
        <v>367145.227344791</v>
      </c>
      <c r="E66" s="18">
        <v>36714.522734479098</v>
      </c>
      <c r="F66" s="18">
        <v>29371.618187583281</v>
      </c>
      <c r="G66" s="17">
        <v>9536068.4418495074</v>
      </c>
      <c r="H66" s="18">
        <v>10269679.373701038</v>
      </c>
      <c r="J66" s="41">
        <v>111</v>
      </c>
      <c r="K66" s="18">
        <v>570874.95986397774</v>
      </c>
      <c r="L66" s="18">
        <v>878269.16902150423</v>
      </c>
      <c r="M66" s="18">
        <v>-34816744.229277693</v>
      </c>
      <c r="N66" s="18">
        <v>-37435850.609763078</v>
      </c>
      <c r="O66" s="19">
        <v>1</v>
      </c>
    </row>
    <row r="67" spans="3:15">
      <c r="C67" s="18">
        <v>85</v>
      </c>
      <c r="D67" s="18">
        <v>378159.58416513476</v>
      </c>
      <c r="E67" s="18">
        <v>37815.95841651348</v>
      </c>
      <c r="F67" s="18">
        <v>30252.766733210781</v>
      </c>
      <c r="G67" s="17">
        <v>10269679.373701038</v>
      </c>
      <c r="H67" s="18">
        <v>11056625.655009836</v>
      </c>
    </row>
    <row r="68" spans="3:15">
      <c r="C68" s="18">
        <v>86</v>
      </c>
      <c r="D68" s="18">
        <v>389504.37169008882</v>
      </c>
      <c r="E68" s="18">
        <v>38950.437169008881</v>
      </c>
      <c r="F68" s="18">
        <v>31160.349735207106</v>
      </c>
      <c r="G68" s="17">
        <v>11056625.655009836</v>
      </c>
      <c r="H68" s="18">
        <v>11900700.23776474</v>
      </c>
    </row>
    <row r="69" spans="3:15">
      <c r="C69" s="18">
        <v>87</v>
      </c>
      <c r="D69" s="18">
        <v>401189.50284079148</v>
      </c>
      <c r="E69" s="18">
        <v>40118.950284079154</v>
      </c>
      <c r="F69" s="18">
        <v>32095.160227263321</v>
      </c>
      <c r="G69" s="17">
        <v>11900700.23776474</v>
      </c>
      <c r="H69" s="18">
        <v>12805963.364919616</v>
      </c>
    </row>
    <row r="70" spans="3:15">
      <c r="C70" s="18">
        <v>88</v>
      </c>
      <c r="D70" s="18">
        <v>413225.18792601523</v>
      </c>
      <c r="E70" s="18">
        <v>41322.518792601528</v>
      </c>
      <c r="F70" s="18">
        <v>33058.015034081218</v>
      </c>
      <c r="G70" s="17">
        <v>12805963.364919616</v>
      </c>
      <c r="H70" s="18">
        <v>13776761.334290672</v>
      </c>
    </row>
    <row r="71" spans="3:15">
      <c r="C71" s="18">
        <v>89</v>
      </c>
      <c r="D71" s="18">
        <v>425621.94356379571</v>
      </c>
      <c r="E71" s="18">
        <v>42562.194356379572</v>
      </c>
      <c r="F71" s="18">
        <v>34049.755485103655</v>
      </c>
      <c r="G71" s="17">
        <v>13776761.334290672</v>
      </c>
      <c r="H71" s="18">
        <v>14817746.577532504</v>
      </c>
    </row>
    <row r="72" spans="3:15">
      <c r="C72" s="18">
        <v>90</v>
      </c>
      <c r="D72" s="18">
        <v>438390.60187070956</v>
      </c>
      <c r="E72" s="18">
        <v>43839.060187070958</v>
      </c>
      <c r="F72" s="18">
        <v>35071.248149656763</v>
      </c>
      <c r="G72" s="17">
        <v>14817746.577532504</v>
      </c>
      <c r="H72" s="18">
        <v>15933899.146296509</v>
      </c>
    </row>
    <row r="73" spans="3:15">
      <c r="C73" s="18">
        <v>91</v>
      </c>
      <c r="D73" s="18">
        <v>451542.31992683088</v>
      </c>
      <c r="E73" s="18">
        <v>45154.23199268309</v>
      </c>
      <c r="F73" s="18">
        <v>36123.385594146472</v>
      </c>
      <c r="G73" s="17">
        <v>15933899.146296509</v>
      </c>
      <c r="H73" s="18">
        <v>17130549.704124097</v>
      </c>
    </row>
    <row r="74" spans="3:15">
      <c r="C74" s="18">
        <v>92</v>
      </c>
      <c r="D74" s="18">
        <v>465088.58952463581</v>
      </c>
      <c r="E74" s="18">
        <v>46508.858952463583</v>
      </c>
      <c r="F74" s="18">
        <v>37207.087161970863</v>
      </c>
      <c r="G74" s="17">
        <v>17130549.704124097</v>
      </c>
      <c r="H74" s="18">
        <v>18413404.129527215</v>
      </c>
    </row>
    <row r="75" spans="3:15">
      <c r="C75" s="18">
        <v>93</v>
      </c>
      <c r="D75" s="18">
        <v>479041.24721037492</v>
      </c>
      <c r="E75" s="18">
        <v>47904.124721037493</v>
      </c>
      <c r="F75" s="18">
        <v>38323.299776829997</v>
      </c>
      <c r="G75" s="17">
        <v>18413404.129527215</v>
      </c>
      <c r="H75" s="18">
        <v>19788569.843091991</v>
      </c>
    </row>
    <row r="76" spans="3:15">
      <c r="C76" s="18">
        <v>94</v>
      </c>
      <c r="D76" s="18">
        <v>493412.4846266862</v>
      </c>
      <c r="E76" s="18">
        <v>49341.24846266862</v>
      </c>
      <c r="F76" s="18">
        <v>39472.998770134895</v>
      </c>
      <c r="G76" s="17">
        <v>19788569.843091991</v>
      </c>
      <c r="H76" s="18">
        <v>21262583.979341239</v>
      </c>
    </row>
    <row r="77" spans="3:15">
      <c r="C77" s="18">
        <v>95</v>
      </c>
      <c r="D77" s="18">
        <v>508214.85916548682</v>
      </c>
      <c r="E77" s="18">
        <v>50821.485916548685</v>
      </c>
      <c r="F77" s="18">
        <v>40657.188733238945</v>
      </c>
      <c r="G77" s="17">
        <v>21262583.979341239</v>
      </c>
      <c r="H77" s="18">
        <v>22842443.532544915</v>
      </c>
    </row>
    <row r="78" spans="3:15">
      <c r="C78" s="18">
        <v>96</v>
      </c>
      <c r="D78" s="18">
        <v>523461.30494045146</v>
      </c>
      <c r="E78" s="18">
        <v>52346.130494045152</v>
      </c>
      <c r="F78" s="18">
        <v>41876.904395236117</v>
      </c>
      <c r="G78" s="17">
        <v>22842443.532544915</v>
      </c>
      <c r="H78" s="18">
        <v>24535637.614712346</v>
      </c>
    </row>
    <row r="79" spans="3:15">
      <c r="C79" s="18">
        <v>97</v>
      </c>
      <c r="D79" s="18">
        <v>539165.14408866502</v>
      </c>
      <c r="E79" s="18">
        <v>53916.514408866504</v>
      </c>
      <c r="F79" s="18">
        <v>43133.211527093204</v>
      </c>
      <c r="G79" s="17">
        <v>24535637.614712346</v>
      </c>
      <c r="H79" s="18">
        <v>26350181.973678175</v>
      </c>
    </row>
    <row r="80" spans="3:15">
      <c r="C80" s="18">
        <v>98</v>
      </c>
      <c r="D80" s="18">
        <v>555340.09841132502</v>
      </c>
      <c r="E80" s="18">
        <v>55534.009841132502</v>
      </c>
      <c r="F80" s="18">
        <v>44427.207872906001</v>
      </c>
      <c r="G80" s="17">
        <v>26350181.973678175</v>
      </c>
      <c r="H80" s="18">
        <v>28294655.929549687</v>
      </c>
    </row>
    <row r="81" spans="3:8">
      <c r="C81" s="18">
        <v>99</v>
      </c>
      <c r="D81" s="18">
        <v>572000.3013636648</v>
      </c>
      <c r="E81" s="18">
        <v>57200.030136366484</v>
      </c>
      <c r="F81" s="18">
        <v>45760.024109093181</v>
      </c>
      <c r="G81" s="17">
        <v>28294655.929549687</v>
      </c>
      <c r="H81" s="18">
        <v>30378241.898863625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2FA48-DA87-F140-B15D-0AD1A9FB2250}">
  <sheetPr codeName="Sheet4"/>
  <dimension ref="A1"/>
  <sheetViews>
    <sheetView workbookViewId="0">
      <selection sqref="A1:XFD1048576"/>
    </sheetView>
  </sheetViews>
  <sheetFormatPr baseColWidth="10" defaultRowHeight="16"/>
  <cols>
    <col min="1" max="16384" width="10.83203125" style="53"/>
  </cols>
  <sheetData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Calculations</vt:lpstr>
      <vt:lpstr>Golden Data</vt:lpstr>
      <vt:lpstr>Contribution</vt:lpstr>
      <vt:lpstr>Calculations!Bob_Savings_Rate</vt:lpstr>
      <vt:lpstr>Calculations!Income_Growth_Rate</vt:lpstr>
      <vt:lpstr>Calculations!PCT_Final_Income</vt:lpstr>
      <vt:lpstr>Calculations!ROA_Post</vt:lpstr>
      <vt:lpstr>Calculations!ROA_Pre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 Tucker</dc:creator>
  <cp:lastModifiedBy>Abhinav Wadhwa</cp:lastModifiedBy>
  <dcterms:created xsi:type="dcterms:W3CDTF">2020-10-16T03:51:00Z</dcterms:created>
  <dcterms:modified xsi:type="dcterms:W3CDTF">2025-02-10T04:24:59Z</dcterms:modified>
</cp:coreProperties>
</file>